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hal Mazhar\Documents\internship codealpha\PowerBI Tasks\"/>
    </mc:Choice>
  </mc:AlternateContent>
  <xr:revisionPtr revIDLastSave="0" documentId="8_{662BB2BC-B172-486C-85C5-4583F3FC74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Overview" sheetId="1" r:id="rId1"/>
    <sheet name="Recruitment Metrics" sheetId="2" r:id="rId2"/>
    <sheet name="Satisfaction &amp; Performance" sheetId="3" r:id="rId3"/>
    <sheet name="Predictive Analytic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E8" i="4"/>
  <c r="F8" i="4" s="1"/>
  <c r="E7" i="4"/>
  <c r="F7" i="4" s="1"/>
  <c r="E6" i="4"/>
  <c r="F6" i="4" s="1"/>
  <c r="E5" i="4"/>
  <c r="F5" i="4" s="1"/>
  <c r="E4" i="4"/>
  <c r="F4" i="4" s="1"/>
  <c r="F3" i="4"/>
  <c r="F9" i="4" s="1"/>
  <c r="E3" i="4"/>
  <c r="E9" i="4" s="1"/>
  <c r="G9" i="3"/>
  <c r="F9" i="3"/>
  <c r="E9" i="3"/>
  <c r="D9" i="3"/>
  <c r="C9" i="3"/>
  <c r="B9" i="3"/>
  <c r="F18" i="2"/>
  <c r="F17" i="2"/>
  <c r="F16" i="2"/>
  <c r="F15" i="2"/>
  <c r="F14" i="2"/>
  <c r="F13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<sst xmlns="http://schemas.openxmlformats.org/spreadsheetml/2006/main" count="88" uniqueCount="62">
  <si>
    <t>TASK 2: Human Resources Analytics</t>
  </si>
  <si>
    <t>Field</t>
  </si>
  <si>
    <t>Details</t>
  </si>
  <si>
    <t>Status</t>
  </si>
  <si>
    <t>Task Name</t>
  </si>
  <si>
    <t>Human Resources Analytics</t>
  </si>
  <si>
    <t>✅ Active</t>
  </si>
  <si>
    <t>Objective</t>
  </si>
  <si>
    <t>Create a dashboard to analyze and optimize HR processes and workforce management.</t>
  </si>
  <si>
    <t>In Progress</t>
  </si>
  <si>
    <t>Deliverable</t>
  </si>
  <si>
    <t>An interactive Power BI report aiding HR decision-making.</t>
  </si>
  <si>
    <t>Pending</t>
  </si>
  <si>
    <t>Owner</t>
  </si>
  <si>
    <t>HR Analytics Team</t>
  </si>
  <si>
    <t>—</t>
  </si>
  <si>
    <t>Priority</t>
  </si>
  <si>
    <t>High</t>
  </si>
  <si>
    <t>Due Date</t>
  </si>
  <si>
    <t>TBD</t>
  </si>
  <si>
    <t>Key Requirements</t>
  </si>
  <si>
    <t>Req 1</t>
  </si>
  <si>
    <t>Track recruitment metrics and employee turnover rates.</t>
  </si>
  <si>
    <t>Req 2</t>
  </si>
  <si>
    <t>Analyze employee satisfaction and performance data.</t>
  </si>
  <si>
    <t>Req 3</t>
  </si>
  <si>
    <t>Implement predictive analytics for forecasting hiring needs.</t>
  </si>
  <si>
    <t>Recruitment Metrics Tracker</t>
  </si>
  <si>
    <t>Department</t>
  </si>
  <si>
    <t>Open Positions</t>
  </si>
  <si>
    <t>Applications Received</t>
  </si>
  <si>
    <t>Interviews Conducted</t>
  </si>
  <si>
    <t>Offers Made</t>
  </si>
  <si>
    <t>Hires Completed</t>
  </si>
  <si>
    <t>Engineering</t>
  </si>
  <si>
    <t>Marketing</t>
  </si>
  <si>
    <t>Sales</t>
  </si>
  <si>
    <t>HR</t>
  </si>
  <si>
    <t>Finance</t>
  </si>
  <si>
    <t>Operations</t>
  </si>
  <si>
    <t>TOTAL</t>
  </si>
  <si>
    <t>Employee Turnover Rates</t>
  </si>
  <si>
    <t>Total Employees</t>
  </si>
  <si>
    <t>Resigned</t>
  </si>
  <si>
    <t>Retired</t>
  </si>
  <si>
    <t>Terminated</t>
  </si>
  <si>
    <t>Turnover Rate (%)</t>
  </si>
  <si>
    <t>Employee Satisfaction &amp; Performance Data</t>
  </si>
  <si>
    <t>Avg Satisfaction (1-10)</t>
  </si>
  <si>
    <t>Avg Performance Score</t>
  </si>
  <si>
    <t>Top Performers</t>
  </si>
  <si>
    <t>Needs Improvement</t>
  </si>
  <si>
    <t>Training Hours</t>
  </si>
  <si>
    <t>Promotion Rate (%)</t>
  </si>
  <si>
    <t>AVERAGE</t>
  </si>
  <si>
    <t>Predictive Analytics – Hiring Forecast</t>
  </si>
  <si>
    <t>Current Headcount</t>
  </si>
  <si>
    <t>Projected Growth (%)</t>
  </si>
  <si>
    <t>Attrition Rate (%)</t>
  </si>
  <si>
    <t>Forecasted Hires (12 mo)</t>
  </si>
  <si>
    <t>Recruitment Budget ($)</t>
  </si>
  <si>
    <t>Cost per Hire ($) –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</si>
</sst>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sz val="10"/>
      <color rgb="FFC00000"/>
      <name val="Arial"/>
    </font>
    <font>
      <b/>
      <sz val="10"/>
      <color rgb="FF0070C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70AD47"/>
      </patternFill>
    </fill>
    <fill>
      <patternFill patternType="solid">
        <fgColor rgb="FFF2F9F1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sqref="A1:C1"/>
    </sheetView>
  </sheetViews>
  <sheetFormatPr defaultRowHeight="14.5" x14ac:dyDescent="0.35"/>
  <cols>
    <col min="1" max="1" width="28" customWidth="1"/>
    <col min="2" max="2" width="50" customWidth="1"/>
    <col min="3" max="3" width="22" customWidth="1"/>
  </cols>
  <sheetData>
    <row r="1" spans="1:3" ht="40" customHeight="1" x14ac:dyDescent="0.35">
      <c r="A1" s="24" t="s">
        <v>0</v>
      </c>
      <c r="B1" s="25"/>
      <c r="C1" s="25"/>
    </row>
    <row r="2" spans="1:3" ht="30" customHeight="1" x14ac:dyDescent="0.35">
      <c r="A2" s="1" t="s">
        <v>1</v>
      </c>
      <c r="B2" s="1" t="s">
        <v>2</v>
      </c>
      <c r="C2" s="1" t="s">
        <v>3</v>
      </c>
    </row>
    <row r="3" spans="1:3" ht="28" customHeight="1" x14ac:dyDescent="0.35">
      <c r="A3" s="2" t="s">
        <v>4</v>
      </c>
      <c r="B3" s="3" t="s">
        <v>5</v>
      </c>
      <c r="C3" s="4" t="s">
        <v>6</v>
      </c>
    </row>
    <row r="4" spans="1:3" ht="28" customHeight="1" x14ac:dyDescent="0.35">
      <c r="A4" s="5" t="s">
        <v>7</v>
      </c>
      <c r="B4" s="6" t="s">
        <v>8</v>
      </c>
      <c r="C4" s="7" t="s">
        <v>9</v>
      </c>
    </row>
    <row r="5" spans="1:3" ht="28" customHeight="1" x14ac:dyDescent="0.35">
      <c r="A5" s="2" t="s">
        <v>10</v>
      </c>
      <c r="B5" s="3" t="s">
        <v>11</v>
      </c>
      <c r="C5" s="4" t="s">
        <v>12</v>
      </c>
    </row>
    <row r="6" spans="1:3" ht="28" customHeight="1" x14ac:dyDescent="0.35">
      <c r="A6" s="5" t="s">
        <v>13</v>
      </c>
      <c r="B6" s="6" t="s">
        <v>14</v>
      </c>
      <c r="C6" s="7" t="s">
        <v>15</v>
      </c>
    </row>
    <row r="7" spans="1:3" ht="28" customHeight="1" x14ac:dyDescent="0.35">
      <c r="A7" s="2" t="s">
        <v>16</v>
      </c>
      <c r="B7" s="3" t="s">
        <v>17</v>
      </c>
      <c r="C7" s="4" t="s">
        <v>15</v>
      </c>
    </row>
    <row r="8" spans="1:3" ht="28" customHeight="1" x14ac:dyDescent="0.35">
      <c r="A8" s="5" t="s">
        <v>18</v>
      </c>
      <c r="B8" s="6" t="s">
        <v>19</v>
      </c>
      <c r="C8" s="7" t="s">
        <v>15</v>
      </c>
    </row>
    <row r="9" spans="1:3" ht="28" customHeight="1" x14ac:dyDescent="0.35">
      <c r="A9" s="27" t="s">
        <v>20</v>
      </c>
      <c r="B9" s="25"/>
      <c r="C9" s="25"/>
    </row>
    <row r="10" spans="1:3" ht="25" customHeight="1" x14ac:dyDescent="0.35">
      <c r="A10" s="8" t="s">
        <v>21</v>
      </c>
      <c r="B10" s="26" t="s">
        <v>22</v>
      </c>
      <c r="C10" s="25"/>
    </row>
    <row r="11" spans="1:3" ht="25" customHeight="1" x14ac:dyDescent="0.35">
      <c r="A11" s="8" t="s">
        <v>23</v>
      </c>
      <c r="B11" s="26" t="s">
        <v>24</v>
      </c>
      <c r="C11" s="25"/>
    </row>
    <row r="12" spans="1:3" ht="25" customHeight="1" x14ac:dyDescent="0.35">
      <c r="A12" s="8" t="s">
        <v>25</v>
      </c>
      <c r="B12" s="26" t="s">
        <v>26</v>
      </c>
      <c r="C12" s="25"/>
    </row>
  </sheetData>
  <mergeCells count="5">
    <mergeCell ref="A1:C1"/>
    <mergeCell ref="B11:C11"/>
    <mergeCell ref="B10:C10"/>
    <mergeCell ref="A9:C9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5" x14ac:dyDescent="0.35"/>
  <cols>
    <col min="1" max="1" width="22" customWidth="1"/>
    <col min="2" max="6" width="18" customWidth="1"/>
  </cols>
  <sheetData>
    <row r="1" spans="1:6" ht="36" customHeight="1" x14ac:dyDescent="0.35">
      <c r="A1" s="30" t="s">
        <v>27</v>
      </c>
      <c r="B1" s="29"/>
      <c r="C1" s="29"/>
      <c r="D1" s="29"/>
      <c r="E1" s="29"/>
      <c r="F1" s="29"/>
    </row>
    <row r="2" spans="1:6" ht="30" customHeight="1" x14ac:dyDescent="0.35">
      <c r="A2" s="9" t="s">
        <v>28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</row>
    <row r="3" spans="1:6" ht="22" customHeight="1" x14ac:dyDescent="0.35">
      <c r="A3" s="10" t="s">
        <v>34</v>
      </c>
      <c r="B3" s="11">
        <v>5</v>
      </c>
      <c r="C3" s="11">
        <v>120</v>
      </c>
      <c r="D3" s="11">
        <v>45</v>
      </c>
      <c r="E3" s="11">
        <v>10</v>
      </c>
      <c r="F3" s="11">
        <v>4</v>
      </c>
    </row>
    <row r="4" spans="1:6" ht="22" customHeight="1" x14ac:dyDescent="0.35">
      <c r="A4" s="12" t="s">
        <v>35</v>
      </c>
      <c r="B4" s="13">
        <v>3</v>
      </c>
      <c r="C4" s="13">
        <v>80</v>
      </c>
      <c r="D4" s="13">
        <v>30</v>
      </c>
      <c r="E4" s="13">
        <v>8</v>
      </c>
      <c r="F4" s="13">
        <v>3</v>
      </c>
    </row>
    <row r="5" spans="1:6" ht="22" customHeight="1" x14ac:dyDescent="0.35">
      <c r="A5" s="10" t="s">
        <v>36</v>
      </c>
      <c r="B5" s="11">
        <v>7</v>
      </c>
      <c r="C5" s="11">
        <v>200</v>
      </c>
      <c r="D5" s="11">
        <v>60</v>
      </c>
      <c r="E5" s="11">
        <v>15</v>
      </c>
      <c r="F5" s="11">
        <v>6</v>
      </c>
    </row>
    <row r="6" spans="1:6" ht="22" customHeight="1" x14ac:dyDescent="0.35">
      <c r="A6" s="12" t="s">
        <v>37</v>
      </c>
      <c r="B6" s="13">
        <v>2</v>
      </c>
      <c r="C6" s="13">
        <v>50</v>
      </c>
      <c r="D6" s="13">
        <v>20</v>
      </c>
      <c r="E6" s="13">
        <v>5</v>
      </c>
      <c r="F6" s="13">
        <v>2</v>
      </c>
    </row>
    <row r="7" spans="1:6" ht="22" customHeight="1" x14ac:dyDescent="0.35">
      <c r="A7" s="10" t="s">
        <v>38</v>
      </c>
      <c r="B7" s="11">
        <v>4</v>
      </c>
      <c r="C7" s="11">
        <v>90</v>
      </c>
      <c r="D7" s="11">
        <v>35</v>
      </c>
      <c r="E7" s="11">
        <v>9</v>
      </c>
      <c r="F7" s="11">
        <v>3</v>
      </c>
    </row>
    <row r="8" spans="1:6" ht="22" customHeight="1" x14ac:dyDescent="0.35">
      <c r="A8" s="12" t="s">
        <v>39</v>
      </c>
      <c r="B8" s="13">
        <v>6</v>
      </c>
      <c r="C8" s="13">
        <v>150</v>
      </c>
      <c r="D8" s="13">
        <v>55</v>
      </c>
      <c r="E8" s="13">
        <v>12</v>
      </c>
      <c r="F8" s="13">
        <v>5</v>
      </c>
    </row>
    <row r="9" spans="1:6" ht="24" customHeight="1" x14ac:dyDescent="0.35">
      <c r="A9" s="14" t="s">
        <v>40</v>
      </c>
      <c r="B9" s="15">
        <f>SUM(B3:B8)</f>
        <v>27</v>
      </c>
      <c r="C9" s="15">
        <f>SUM(C3:C8)</f>
        <v>690</v>
      </c>
      <c r="D9" s="15">
        <f>SUM(D3:D8)</f>
        <v>245</v>
      </c>
      <c r="E9" s="15">
        <f>SUM(E3:E8)</f>
        <v>59</v>
      </c>
      <c r="F9" s="15">
        <f>SUM(F3:F8)</f>
        <v>23</v>
      </c>
    </row>
    <row r="11" spans="1:6" ht="30" customHeight="1" x14ac:dyDescent="0.35">
      <c r="A11" s="28" t="s">
        <v>41</v>
      </c>
      <c r="B11" s="29"/>
      <c r="C11" s="29"/>
      <c r="D11" s="29"/>
      <c r="E11" s="29"/>
      <c r="F11" s="29"/>
    </row>
    <row r="12" spans="1:6" ht="30" customHeight="1" x14ac:dyDescent="0.35">
      <c r="A12" s="9" t="s">
        <v>28</v>
      </c>
      <c r="B12" s="9" t="s">
        <v>42</v>
      </c>
      <c r="C12" s="9" t="s">
        <v>43</v>
      </c>
      <c r="D12" s="9" t="s">
        <v>44</v>
      </c>
      <c r="E12" s="9" t="s">
        <v>45</v>
      </c>
      <c r="F12" s="9" t="s">
        <v>46</v>
      </c>
    </row>
    <row r="13" spans="1:6" ht="22" customHeight="1" x14ac:dyDescent="0.35">
      <c r="A13" s="10" t="s">
        <v>34</v>
      </c>
      <c r="B13" s="11">
        <v>85</v>
      </c>
      <c r="C13" s="11">
        <v>4</v>
      </c>
      <c r="D13" s="11">
        <v>1</v>
      </c>
      <c r="E13" s="11">
        <v>2</v>
      </c>
      <c r="F13" s="16">
        <f t="shared" ref="F13:F18" si="0">IFERROR((C13+D13+E13)/B13*100,0)</f>
        <v>8.235294117647058</v>
      </c>
    </row>
    <row r="14" spans="1:6" ht="22" customHeight="1" x14ac:dyDescent="0.35">
      <c r="A14" s="12" t="s">
        <v>35</v>
      </c>
      <c r="B14" s="13">
        <v>40</v>
      </c>
      <c r="C14" s="13">
        <v>3</v>
      </c>
      <c r="D14" s="13">
        <v>0</v>
      </c>
      <c r="E14" s="13">
        <v>1</v>
      </c>
      <c r="F14" s="17">
        <f t="shared" si="0"/>
        <v>10</v>
      </c>
    </row>
    <row r="15" spans="1:6" ht="22" customHeight="1" x14ac:dyDescent="0.35">
      <c r="A15" s="10" t="s">
        <v>36</v>
      </c>
      <c r="B15" s="11">
        <v>60</v>
      </c>
      <c r="C15" s="11">
        <v>6</v>
      </c>
      <c r="D15" s="11">
        <v>1</v>
      </c>
      <c r="E15" s="11">
        <v>3</v>
      </c>
      <c r="F15" s="16">
        <f t="shared" si="0"/>
        <v>16.666666666666664</v>
      </c>
    </row>
    <row r="16" spans="1:6" ht="22" customHeight="1" x14ac:dyDescent="0.35">
      <c r="A16" s="12" t="s">
        <v>37</v>
      </c>
      <c r="B16" s="13">
        <v>20</v>
      </c>
      <c r="C16" s="13">
        <v>1</v>
      </c>
      <c r="D16" s="13">
        <v>0</v>
      </c>
      <c r="E16" s="13">
        <v>0</v>
      </c>
      <c r="F16" s="17">
        <f t="shared" si="0"/>
        <v>5</v>
      </c>
    </row>
    <row r="17" spans="1:6" ht="22" customHeight="1" x14ac:dyDescent="0.35">
      <c r="A17" s="10" t="s">
        <v>38</v>
      </c>
      <c r="B17" s="11">
        <v>30</v>
      </c>
      <c r="C17" s="11">
        <v>2</v>
      </c>
      <c r="D17" s="11">
        <v>1</v>
      </c>
      <c r="E17" s="11">
        <v>1</v>
      </c>
      <c r="F17" s="16">
        <f t="shared" si="0"/>
        <v>13.333333333333334</v>
      </c>
    </row>
    <row r="18" spans="1:6" ht="22" customHeight="1" x14ac:dyDescent="0.35">
      <c r="A18" s="12" t="s">
        <v>39</v>
      </c>
      <c r="B18" s="13">
        <v>75</v>
      </c>
      <c r="C18" s="13">
        <v>5</v>
      </c>
      <c r="D18" s="13">
        <v>2</v>
      </c>
      <c r="E18" s="13">
        <v>2</v>
      </c>
      <c r="F18" s="17">
        <f t="shared" si="0"/>
        <v>12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5" x14ac:dyDescent="0.35"/>
  <cols>
    <col min="1" max="1" width="22" customWidth="1"/>
    <col min="2" max="7" width="17" customWidth="1"/>
  </cols>
  <sheetData>
    <row r="1" spans="1:7" ht="36" customHeight="1" x14ac:dyDescent="0.35">
      <c r="A1" s="30" t="s">
        <v>47</v>
      </c>
      <c r="B1" s="29"/>
      <c r="C1" s="29"/>
      <c r="D1" s="29"/>
      <c r="E1" s="29"/>
      <c r="F1" s="29"/>
      <c r="G1" s="29"/>
    </row>
    <row r="2" spans="1:7" ht="40" customHeight="1" x14ac:dyDescent="0.35">
      <c r="A2" s="9" t="s">
        <v>28</v>
      </c>
      <c r="B2" s="9" t="s">
        <v>48</v>
      </c>
      <c r="C2" s="9" t="s">
        <v>49</v>
      </c>
      <c r="D2" s="9" t="s">
        <v>50</v>
      </c>
      <c r="E2" s="9" t="s">
        <v>51</v>
      </c>
      <c r="F2" s="9" t="s">
        <v>52</v>
      </c>
      <c r="G2" s="9" t="s">
        <v>53</v>
      </c>
    </row>
    <row r="3" spans="1:7" ht="22" customHeight="1" x14ac:dyDescent="0.35">
      <c r="A3" s="10" t="s">
        <v>34</v>
      </c>
      <c r="B3" s="11">
        <v>7.8</v>
      </c>
      <c r="C3" s="11">
        <v>8.1999999999999993</v>
      </c>
      <c r="D3" s="11">
        <v>12</v>
      </c>
      <c r="E3" s="11">
        <v>3</v>
      </c>
      <c r="F3" s="11">
        <v>45</v>
      </c>
      <c r="G3" s="11">
        <v>8.5</v>
      </c>
    </row>
    <row r="4" spans="1:7" ht="22" customHeight="1" x14ac:dyDescent="0.35">
      <c r="A4" s="12" t="s">
        <v>35</v>
      </c>
      <c r="B4" s="13">
        <v>8.1</v>
      </c>
      <c r="C4" s="13">
        <v>7.9</v>
      </c>
      <c r="D4" s="13">
        <v>8</v>
      </c>
      <c r="E4" s="13">
        <v>2</v>
      </c>
      <c r="F4" s="13">
        <v>38</v>
      </c>
      <c r="G4" s="13">
        <v>7.2</v>
      </c>
    </row>
    <row r="5" spans="1:7" ht="22" customHeight="1" x14ac:dyDescent="0.35">
      <c r="A5" s="10" t="s">
        <v>36</v>
      </c>
      <c r="B5" s="11">
        <v>6.9</v>
      </c>
      <c r="C5" s="11">
        <v>7.5</v>
      </c>
      <c r="D5" s="11">
        <v>10</v>
      </c>
      <c r="E5" s="11">
        <v>5</v>
      </c>
      <c r="F5" s="11">
        <v>32</v>
      </c>
      <c r="G5" s="11">
        <v>6.8</v>
      </c>
    </row>
    <row r="6" spans="1:7" ht="22" customHeight="1" x14ac:dyDescent="0.35">
      <c r="A6" s="12" t="s">
        <v>37</v>
      </c>
      <c r="B6" s="13">
        <v>8.5</v>
      </c>
      <c r="C6" s="13">
        <v>8.8000000000000007</v>
      </c>
      <c r="D6" s="13">
        <v>5</v>
      </c>
      <c r="E6" s="13">
        <v>1</v>
      </c>
      <c r="F6" s="13">
        <v>52</v>
      </c>
      <c r="G6" s="13">
        <v>10</v>
      </c>
    </row>
    <row r="7" spans="1:7" ht="22" customHeight="1" x14ac:dyDescent="0.35">
      <c r="A7" s="10" t="s">
        <v>38</v>
      </c>
      <c r="B7" s="11">
        <v>7.5</v>
      </c>
      <c r="C7" s="11">
        <v>8</v>
      </c>
      <c r="D7" s="11">
        <v>7</v>
      </c>
      <c r="E7" s="11">
        <v>2</v>
      </c>
      <c r="F7" s="11">
        <v>40</v>
      </c>
      <c r="G7" s="11">
        <v>7.5</v>
      </c>
    </row>
    <row r="8" spans="1:7" ht="22" customHeight="1" x14ac:dyDescent="0.35">
      <c r="A8" s="12" t="s">
        <v>39</v>
      </c>
      <c r="B8" s="13">
        <v>7.2</v>
      </c>
      <c r="C8" s="13">
        <v>7.6</v>
      </c>
      <c r="D8" s="13">
        <v>9</v>
      </c>
      <c r="E8" s="13">
        <v>4</v>
      </c>
      <c r="F8" s="13">
        <v>36</v>
      </c>
      <c r="G8" s="13">
        <v>6.5</v>
      </c>
    </row>
    <row r="9" spans="1:7" ht="24" customHeight="1" x14ac:dyDescent="0.35">
      <c r="A9" s="14" t="s">
        <v>54</v>
      </c>
      <c r="B9" s="18">
        <f t="shared" ref="B9:G9" si="0">AVERAGE(B3:B8)</f>
        <v>7.666666666666667</v>
      </c>
      <c r="C9" s="18">
        <f t="shared" si="0"/>
        <v>8.0000000000000018</v>
      </c>
      <c r="D9" s="18">
        <f t="shared" si="0"/>
        <v>8.5</v>
      </c>
      <c r="E9" s="18">
        <f t="shared" si="0"/>
        <v>2.8333333333333335</v>
      </c>
      <c r="F9" s="18">
        <f t="shared" si="0"/>
        <v>40.5</v>
      </c>
      <c r="G9" s="18">
        <f t="shared" si="0"/>
        <v>7.75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.5" x14ac:dyDescent="0.35"/>
  <cols>
    <col min="1" max="1" width="24" customWidth="1"/>
    <col min="2" max="6" width="20" customWidth="1"/>
  </cols>
  <sheetData>
    <row r="1" spans="1:6" ht="36" customHeight="1" x14ac:dyDescent="0.35">
      <c r="A1" s="30" t="s">
        <v>55</v>
      </c>
      <c r="B1" s="29"/>
      <c r="C1" s="29"/>
      <c r="D1" s="29"/>
      <c r="E1" s="29"/>
      <c r="F1" s="29"/>
    </row>
    <row r="2" spans="1:6" ht="40" customHeight="1" x14ac:dyDescent="0.35">
      <c r="A2" s="9" t="s">
        <v>28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</row>
    <row r="3" spans="1:6" ht="24" customHeight="1" x14ac:dyDescent="0.35">
      <c r="A3" s="10" t="s">
        <v>34</v>
      </c>
      <c r="B3" s="11">
        <v>85</v>
      </c>
      <c r="C3" s="11">
        <v>15</v>
      </c>
      <c r="D3" s="11">
        <v>8</v>
      </c>
      <c r="E3" s="11">
        <f t="shared" ref="E3:E8" si="0">ROUND(B3*(C3+D3)/100,0)</f>
        <v>20</v>
      </c>
      <c r="F3" s="19">
        <f t="shared" ref="F3:F8" si="1">E3*$B$10</f>
        <v>100000</v>
      </c>
    </row>
    <row r="4" spans="1:6" ht="24" customHeight="1" x14ac:dyDescent="0.35">
      <c r="A4" s="12" t="s">
        <v>35</v>
      </c>
      <c r="B4" s="13">
        <v>40</v>
      </c>
      <c r="C4" s="13">
        <v>10</v>
      </c>
      <c r="D4" s="13">
        <v>9</v>
      </c>
      <c r="E4" s="13">
        <f t="shared" si="0"/>
        <v>8</v>
      </c>
      <c r="F4" s="20">
        <f t="shared" si="1"/>
        <v>40000</v>
      </c>
    </row>
    <row r="5" spans="1:6" ht="24" customHeight="1" x14ac:dyDescent="0.35">
      <c r="A5" s="10" t="s">
        <v>36</v>
      </c>
      <c r="B5" s="11">
        <v>60</v>
      </c>
      <c r="C5" s="11">
        <v>20</v>
      </c>
      <c r="D5" s="11">
        <v>12</v>
      </c>
      <c r="E5" s="11">
        <f t="shared" si="0"/>
        <v>19</v>
      </c>
      <c r="F5" s="19">
        <f t="shared" si="1"/>
        <v>95000</v>
      </c>
    </row>
    <row r="6" spans="1:6" ht="24" customHeight="1" x14ac:dyDescent="0.35">
      <c r="A6" s="12" t="s">
        <v>37</v>
      </c>
      <c r="B6" s="13">
        <v>20</v>
      </c>
      <c r="C6" s="13">
        <v>5</v>
      </c>
      <c r="D6" s="13">
        <v>5</v>
      </c>
      <c r="E6" s="13">
        <f t="shared" si="0"/>
        <v>2</v>
      </c>
      <c r="F6" s="20">
        <f t="shared" si="1"/>
        <v>10000</v>
      </c>
    </row>
    <row r="7" spans="1:6" ht="24" customHeight="1" x14ac:dyDescent="0.35">
      <c r="A7" s="10" t="s">
        <v>38</v>
      </c>
      <c r="B7" s="11">
        <v>30</v>
      </c>
      <c r="C7" s="11">
        <v>8</v>
      </c>
      <c r="D7" s="11">
        <v>7</v>
      </c>
      <c r="E7" s="11">
        <f t="shared" si="0"/>
        <v>5</v>
      </c>
      <c r="F7" s="19">
        <f t="shared" si="1"/>
        <v>25000</v>
      </c>
    </row>
    <row r="8" spans="1:6" ht="24" customHeight="1" x14ac:dyDescent="0.35">
      <c r="A8" s="12" t="s">
        <v>39</v>
      </c>
      <c r="B8" s="13">
        <v>75</v>
      </c>
      <c r="C8" s="13">
        <v>12</v>
      </c>
      <c r="D8" s="13">
        <v>10</v>
      </c>
      <c r="E8" s="13">
        <f t="shared" si="0"/>
        <v>17</v>
      </c>
      <c r="F8" s="20">
        <f t="shared" si="1"/>
        <v>85000</v>
      </c>
    </row>
    <row r="9" spans="1:6" ht="24" customHeight="1" x14ac:dyDescent="0.35">
      <c r="A9" s="14" t="s">
        <v>40</v>
      </c>
      <c r="B9" s="15">
        <f>SUM(B3:B8)</f>
        <v>310</v>
      </c>
      <c r="C9" s="15" t="s">
        <v>15</v>
      </c>
      <c r="D9" s="15" t="s">
        <v>15</v>
      </c>
      <c r="E9" s="15">
        <f>SUM(E3:E8)</f>
        <v>71</v>
      </c>
      <c r="F9" s="21">
        <f>SUM(F3:F8)</f>
        <v>355000</v>
      </c>
    </row>
    <row r="10" spans="1:6" ht="24" customHeight="1" x14ac:dyDescent="0.35">
      <c r="A10" s="22" t="s">
        <v>61</v>
      </c>
      <c r="B10" s="23">
        <v>5000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Overview</vt:lpstr>
      <vt:lpstr>Recruitment Metrics</vt:lpstr>
      <vt:lpstr>Satisfaction &amp; Performance</vt:lpstr>
      <vt:lpstr>Predictive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Mishal Mazhar</cp:lastModifiedBy>
  <dcterms:created xsi:type="dcterms:W3CDTF">2026-04-22T19:02:30Z</dcterms:created>
  <dcterms:modified xsi:type="dcterms:W3CDTF">2026-04-22T19:04:35Z</dcterms:modified>
</cp:coreProperties>
</file>