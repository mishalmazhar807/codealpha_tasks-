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hal Mazhar\Documents\internship codealpha\PowerBI Tasks\"/>
    </mc:Choice>
  </mc:AlternateContent>
  <xr:revisionPtr revIDLastSave="0" documentId="8_{7F988968-6E01-4D90-9BFE-687EAE54A70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Assumptions" sheetId="2" r:id="rId2"/>
    <sheet name="Income" sheetId="3" r:id="rId3"/>
    <sheet name="BalanceSheet" sheetId="4" r:id="rId4"/>
    <sheet name="CashFlow" sheetId="5" r:id="rId5"/>
    <sheet name="Ratios" sheetId="6" r:id="rId6"/>
    <sheet name="Forecast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6" l="1"/>
  <c r="E7" i="6" s="1"/>
  <c r="B6" i="6"/>
  <c r="E6" i="6" s="1"/>
  <c r="E21" i="5"/>
  <c r="G21" i="5" s="1"/>
  <c r="D21" i="5"/>
  <c r="C21" i="5"/>
  <c r="B21" i="5"/>
  <c r="G20" i="5"/>
  <c r="G19" i="5"/>
  <c r="G18" i="5"/>
  <c r="E16" i="5"/>
  <c r="D16" i="5"/>
  <c r="C16" i="5"/>
  <c r="B16" i="5"/>
  <c r="G16" i="5" s="1"/>
  <c r="G15" i="5"/>
  <c r="G14" i="5"/>
  <c r="G13" i="5"/>
  <c r="G10" i="5"/>
  <c r="G9" i="5"/>
  <c r="G8" i="5"/>
  <c r="G7" i="5"/>
  <c r="G6" i="5"/>
  <c r="E27" i="4"/>
  <c r="G27" i="4" s="1"/>
  <c r="D27" i="4"/>
  <c r="C27" i="4"/>
  <c r="B27" i="4"/>
  <c r="G26" i="4"/>
  <c r="G25" i="4"/>
  <c r="G24" i="4"/>
  <c r="G22" i="4"/>
  <c r="G21" i="4"/>
  <c r="E20" i="4"/>
  <c r="D20" i="4"/>
  <c r="D23" i="4" s="1"/>
  <c r="D28" i="4" s="1"/>
  <c r="C20" i="4"/>
  <c r="C23" i="4" s="1"/>
  <c r="C28" i="4" s="1"/>
  <c r="B20" i="4"/>
  <c r="B23" i="4" s="1"/>
  <c r="B28" i="4" s="1"/>
  <c r="G19" i="4"/>
  <c r="G18" i="4"/>
  <c r="G17" i="4"/>
  <c r="G16" i="4"/>
  <c r="G13" i="4"/>
  <c r="G12" i="4"/>
  <c r="G11" i="4"/>
  <c r="G10" i="4"/>
  <c r="E9" i="4"/>
  <c r="D9" i="4"/>
  <c r="D14" i="4" s="1"/>
  <c r="D29" i="4" s="1"/>
  <c r="C9" i="4"/>
  <c r="C14" i="4" s="1"/>
  <c r="C29" i="4" s="1"/>
  <c r="B9" i="4"/>
  <c r="B14" i="4" s="1"/>
  <c r="B29" i="4" s="1"/>
  <c r="G8" i="4"/>
  <c r="G7" i="4"/>
  <c r="G6" i="4"/>
  <c r="G5" i="4"/>
  <c r="E11" i="3"/>
  <c r="D11" i="3"/>
  <c r="C11" i="3"/>
  <c r="B11" i="3"/>
  <c r="G11" i="3" s="1"/>
  <c r="E9" i="3"/>
  <c r="D9" i="3"/>
  <c r="C9" i="3"/>
  <c r="B9" i="3"/>
  <c r="G9" i="3" s="1"/>
  <c r="B4" i="3"/>
  <c r="H5" i="1"/>
  <c r="G5" i="1"/>
  <c r="F5" i="1"/>
  <c r="E5" i="1"/>
  <c r="E23" i="4" l="1"/>
  <c r="G20" i="4"/>
  <c r="B5" i="6"/>
  <c r="E5" i="6" s="1"/>
  <c r="E14" i="4"/>
  <c r="G9" i="4"/>
  <c r="B5" i="7"/>
  <c r="B5" i="3"/>
  <c r="B6" i="3" s="1"/>
  <c r="B16" i="3" s="1"/>
  <c r="B9" i="7" s="1"/>
  <c r="B7" i="3"/>
  <c r="C4" i="3"/>
  <c r="G23" i="4" l="1"/>
  <c r="B13" i="6"/>
  <c r="E13" i="6" s="1"/>
  <c r="B14" i="6"/>
  <c r="E14" i="6" s="1"/>
  <c r="E28" i="4"/>
  <c r="G28" i="4" s="1"/>
  <c r="G14" i="4"/>
  <c r="E29" i="4"/>
  <c r="G29" i="4" s="1"/>
  <c r="B6" i="7"/>
  <c r="B8" i="3"/>
  <c r="C7" i="3"/>
  <c r="D4" i="3"/>
  <c r="C5" i="7"/>
  <c r="C5" i="3"/>
  <c r="C6" i="3" s="1"/>
  <c r="B17" i="3" l="1"/>
  <c r="B10" i="3"/>
  <c r="B7" i="7"/>
  <c r="D7" i="3"/>
  <c r="E4" i="3"/>
  <c r="G4" i="3" s="1"/>
  <c r="D5" i="7"/>
  <c r="D16" i="3"/>
  <c r="D9" i="7" s="1"/>
  <c r="D5" i="3"/>
  <c r="D6" i="3"/>
  <c r="C8" i="3"/>
  <c r="C6" i="7"/>
  <c r="C16" i="3"/>
  <c r="C9" i="7" s="1"/>
  <c r="B18" i="3" l="1"/>
  <c r="B12" i="3"/>
  <c r="B19" i="6"/>
  <c r="E19" i="6" s="1"/>
  <c r="B17" i="6"/>
  <c r="E17" i="6" s="1"/>
  <c r="E5" i="7"/>
  <c r="B12" i="7"/>
  <c r="E5" i="3"/>
  <c r="F12" i="7"/>
  <c r="E7" i="3"/>
  <c r="G7" i="3" s="1"/>
  <c r="D6" i="7"/>
  <c r="D8" i="3"/>
  <c r="C17" i="3"/>
  <c r="C7" i="7"/>
  <c r="C10" i="3"/>
  <c r="B13" i="3" l="1"/>
  <c r="B14" i="3"/>
  <c r="G12" i="7"/>
  <c r="F13" i="7"/>
  <c r="F14" i="7"/>
  <c r="F16" i="7"/>
  <c r="D17" i="3"/>
  <c r="D10" i="3"/>
  <c r="D7" i="7"/>
  <c r="C18" i="3"/>
  <c r="C12" i="3"/>
  <c r="G5" i="3"/>
  <c r="E6" i="3"/>
  <c r="B19" i="3" l="1"/>
  <c r="B10" i="7" s="1"/>
  <c r="B8" i="7"/>
  <c r="B5" i="5"/>
  <c r="H12" i="7"/>
  <c r="G13" i="7"/>
  <c r="G14" i="7"/>
  <c r="G16" i="7"/>
  <c r="F17" i="7"/>
  <c r="F18" i="7" s="1"/>
  <c r="F20" i="7" s="1"/>
  <c r="F19" i="7"/>
  <c r="D18" i="3"/>
  <c r="D12" i="3"/>
  <c r="C13" i="3"/>
  <c r="C14" i="3"/>
  <c r="B18" i="6"/>
  <c r="E18" i="6" s="1"/>
  <c r="A5" i="1"/>
  <c r="E8" i="3"/>
  <c r="E6" i="7"/>
  <c r="G6" i="3"/>
  <c r="G16" i="3" s="1"/>
  <c r="E16" i="3"/>
  <c r="E9" i="7" s="1"/>
  <c r="B11" i="5" l="1"/>
  <c r="H13" i="7"/>
  <c r="H14" i="7"/>
  <c r="H16" i="7"/>
  <c r="G17" i="7"/>
  <c r="G18" i="7" s="1"/>
  <c r="G20" i="7" s="1"/>
  <c r="G19" i="7"/>
  <c r="D13" i="3"/>
  <c r="D14" i="3"/>
  <c r="C19" i="3"/>
  <c r="C10" i="7" s="1"/>
  <c r="C5" i="5"/>
  <c r="C8" i="7"/>
  <c r="G8" i="3"/>
  <c r="E17" i="3"/>
  <c r="E10" i="3"/>
  <c r="E7" i="7"/>
  <c r="B22" i="5" l="1"/>
  <c r="H17" i="7"/>
  <c r="H18" i="7" s="1"/>
  <c r="H20" i="7" s="1"/>
  <c r="H19" i="7"/>
  <c r="D19" i="3"/>
  <c r="D10" i="7" s="1"/>
  <c r="D5" i="5"/>
  <c r="D11" i="5" s="1"/>
  <c r="D8" i="7"/>
  <c r="B5" i="1"/>
  <c r="G17" i="3"/>
  <c r="D5" i="1" s="1"/>
  <c r="G10" i="3"/>
  <c r="E18" i="3"/>
  <c r="E12" i="3"/>
  <c r="C11" i="5"/>
  <c r="C22" i="5" s="1"/>
  <c r="G18" i="3" l="1"/>
  <c r="B15" i="6"/>
  <c r="E15" i="6" s="1"/>
  <c r="G12" i="3"/>
  <c r="E13" i="3"/>
  <c r="G13" i="3" s="1"/>
  <c r="E14" i="3"/>
  <c r="D22" i="5"/>
  <c r="G14" i="3" l="1"/>
  <c r="E19" i="3"/>
  <c r="E10" i="7" s="1"/>
  <c r="E5" i="5"/>
  <c r="E8" i="7"/>
  <c r="G19" i="3" l="1"/>
  <c r="C5" i="1"/>
  <c r="B9" i="6"/>
  <c r="E9" i="6" s="1"/>
  <c r="B10" i="6"/>
  <c r="E10" i="6" s="1"/>
  <c r="B11" i="6"/>
  <c r="E11" i="6" s="1"/>
  <c r="G5" i="5"/>
  <c r="E11" i="5"/>
  <c r="G11" i="5" l="1"/>
  <c r="E22" i="5"/>
  <c r="G22" i="5" s="1"/>
</calcChain>
</file>

<file path=xl/sharedStrings.xml><?xml version="1.0" encoding="utf-8"?>
<sst xmlns="http://schemas.openxmlformats.org/spreadsheetml/2006/main" count="249" uniqueCount="195">
  <si>
    <t>FINANCIAL HEALTH DASHBOARD</t>
  </si>
  <si>
    <t>SME Financial Overview | FY 2024 | All figures in $000s</t>
  </si>
  <si>
    <t>Total Revenue</t>
  </si>
  <si>
    <t>Total Expenses</t>
  </si>
  <si>
    <t>Net Profit</t>
  </si>
  <si>
    <t>Gross Margin</t>
  </si>
  <si>
    <t>EBITDA Margin</t>
  </si>
  <si>
    <t>Net Margin</t>
  </si>
  <si>
    <t>Current Ratio</t>
  </si>
  <si>
    <t>Debt/Equity</t>
  </si>
  <si>
    <t>FY 2024</t>
  </si>
  <si>
    <t>NAVIGATE → Income Statement | Balance Sheet | Cash Flow | Ratios | Forecast | Assumptions</t>
  </si>
  <si>
    <t>ASSUMPTIONS &amp; INPUTS</t>
  </si>
  <si>
    <t>Blue = Input cells (change to model scenarios)</t>
  </si>
  <si>
    <t>Assumption</t>
  </si>
  <si>
    <t>Value</t>
  </si>
  <si>
    <t>Unit</t>
  </si>
  <si>
    <t>Note</t>
  </si>
  <si>
    <t>Source</t>
  </si>
  <si>
    <t>── REVENUE ──</t>
  </si>
  <si>
    <t>Base Revenue (Q1 2024)</t>
  </si>
  <si>
    <t>$000</t>
  </si>
  <si>
    <t>Starting quarterly revenue</t>
  </si>
  <si>
    <t>Management estimate</t>
  </si>
  <si>
    <t>Revenue Growth Q2</t>
  </si>
  <si>
    <t>%</t>
  </si>
  <si>
    <t>Q-o-Q growth rate</t>
  </si>
  <si>
    <t>Historical avg</t>
  </si>
  <si>
    <t>Revenue Growth Q3</t>
  </si>
  <si>
    <t>Revenue Growth Q4</t>
  </si>
  <si>
    <t>── MARGINS ──</t>
  </si>
  <si>
    <t>COGS % of Revenue</t>
  </si>
  <si>
    <t>Cost of goods sold ratio</t>
  </si>
  <si>
    <t>Industry benchmark</t>
  </si>
  <si>
    <t>Operating Expense %</t>
  </si>
  <si>
    <t>SG&amp;A + other opex</t>
  </si>
  <si>
    <t>Budget FY2024</t>
  </si>
  <si>
    <t>Depreciation ($000)</t>
  </si>
  <si>
    <t>Annual depreciation</t>
  </si>
  <si>
    <t>Fixed asset schedule</t>
  </si>
  <si>
    <t>Interest Expense ($000)</t>
  </si>
  <si>
    <t>Annual interest cost</t>
  </si>
  <si>
    <t>Loan agreement</t>
  </si>
  <si>
    <t>Tax Rate</t>
  </si>
  <si>
    <t>Effective corporate tax</t>
  </si>
  <si>
    <t>Tax advisory</t>
  </si>
  <si>
    <t>── BALANCE SHEET ──</t>
  </si>
  <si>
    <t>Starting Total Assets</t>
  </si>
  <si>
    <t>Q1 2024 assets</t>
  </si>
  <si>
    <t>Prior period BS</t>
  </si>
  <si>
    <t>Starting Total Liabilities</t>
  </si>
  <si>
    <t>Q1 2024 liabilities</t>
  </si>
  <si>
    <t>── FORECAST ──</t>
  </si>
  <si>
    <t>Forecast Growth Rate Q1 2025</t>
  </si>
  <si>
    <t>Conservative estimate</t>
  </si>
  <si>
    <t>Analyst consensus</t>
  </si>
  <si>
    <t>Forecast Growth Rate Q2 2025</t>
  </si>
  <si>
    <t>Forecast Growth Rate Q3 2025</t>
  </si>
  <si>
    <t>Forecast Growth Rate Q4 2025</t>
  </si>
  <si>
    <t>Confidence Interval</t>
  </si>
  <si>
    <t>± band around forecast</t>
  </si>
  <si>
    <t>Statistical model</t>
  </si>
  <si>
    <t>INCOME STATEMENT</t>
  </si>
  <si>
    <t>All figures in $000s  |  Black = formula  |  Blue = input</t>
  </si>
  <si>
    <t>Q1 2024</t>
  </si>
  <si>
    <t>Q2 2024</t>
  </si>
  <si>
    <t>Q3 2024</t>
  </si>
  <si>
    <t>Q4 2024</t>
  </si>
  <si>
    <t>Revenue</t>
  </si>
  <si>
    <t>Cost of Goods Sold (COGS)</t>
  </si>
  <si>
    <t>Gross Profit</t>
  </si>
  <si>
    <t>Operating Expenses (SG&amp;A)</t>
  </si>
  <si>
    <t>EBITDA</t>
  </si>
  <si>
    <t>Depreciation &amp; Amortization</t>
  </si>
  <si>
    <t>EBIT (Operating Profit)</t>
  </si>
  <si>
    <t>Interest Expense</t>
  </si>
  <si>
    <t>EBT (Earnings Before Tax)</t>
  </si>
  <si>
    <t>Income Tax</t>
  </si>
  <si>
    <t>NET PROFIT</t>
  </si>
  <si>
    <t>PROFITABILITY MARGINS</t>
  </si>
  <si>
    <t>Gross Margin %</t>
  </si>
  <si>
    <t>EBITDA Margin %</t>
  </si>
  <si>
    <t>EBIT Margin %</t>
  </si>
  <si>
    <t>Net Margin %</t>
  </si>
  <si>
    <t>BALANCE SHEET</t>
  </si>
  <si>
    <t>All figures in $000s</t>
  </si>
  <si>
    <t>ASSETS</t>
  </si>
  <si>
    <t>Cash &amp; Cash Equivalents</t>
  </si>
  <si>
    <t>Accounts Receivable</t>
  </si>
  <si>
    <t>Inventory</t>
  </si>
  <si>
    <t>Other Current Assets</t>
  </si>
  <si>
    <t>Total Current Assets</t>
  </si>
  <si>
    <t>Property, Plant &amp; Equipment</t>
  </si>
  <si>
    <t>Less: Accumulated Depreciation</t>
  </si>
  <si>
    <t>Intangible Assets</t>
  </si>
  <si>
    <t>Long-term Investments</t>
  </si>
  <si>
    <t>Total Assets</t>
  </si>
  <si>
    <t>LIABILITIES &amp; EQUITY</t>
  </si>
  <si>
    <t>Accounts Payable</t>
  </si>
  <si>
    <t>Short-term Debt</t>
  </si>
  <si>
    <t>Accrued Liabilities</t>
  </si>
  <si>
    <t>Other Current Liabilities</t>
  </si>
  <si>
    <t>Total Current Liabilities</t>
  </si>
  <si>
    <t>Long-term Debt</t>
  </si>
  <si>
    <t>Deferred Tax Liability</t>
  </si>
  <si>
    <t>Total Liabilities</t>
  </si>
  <si>
    <t>Share Capital</t>
  </si>
  <si>
    <t>Retained Earnings</t>
  </si>
  <si>
    <t>Other Reserves</t>
  </si>
  <si>
    <t>Total Equity</t>
  </si>
  <si>
    <t>Total Liabilities + Equity</t>
  </si>
  <si>
    <t>Balance Check (Assets - L&amp;E)</t>
  </si>
  <si>
    <t>CASH FLOW STATEMENT</t>
  </si>
  <si>
    <t>OPERATING ACTIVITIES</t>
  </si>
  <si>
    <t>Add: Depreciation</t>
  </si>
  <si>
    <t>Change in Accounts Receivable</t>
  </si>
  <si>
    <t>Change in Inventory</t>
  </si>
  <si>
    <t>Change in Accounts Payable</t>
  </si>
  <si>
    <t>Other Working Capital Changes</t>
  </si>
  <si>
    <t>Net Cash from Operations</t>
  </si>
  <si>
    <t>INVESTING ACTIVITIES</t>
  </si>
  <si>
    <t>Capital Expenditures (CapEx)</t>
  </si>
  <si>
    <t>Purchase of Investments</t>
  </si>
  <si>
    <t>Proceeds from Asset Disposal</t>
  </si>
  <si>
    <t>Net Cash from Investing</t>
  </si>
  <si>
    <t>FINANCING ACTIVITIES</t>
  </si>
  <si>
    <t>Loan Repayments</t>
  </si>
  <si>
    <t>Dividends Paid</t>
  </si>
  <si>
    <t>New Equity Raised</t>
  </si>
  <si>
    <t>Net Cash from Financing</t>
  </si>
  <si>
    <t>NET CHANGE IN CASH</t>
  </si>
  <si>
    <t>KEY FINANCIAL RATIOS</t>
  </si>
  <si>
    <t>Based on Q4 2024 / FY 2024 data</t>
  </si>
  <si>
    <t>Ratio</t>
  </si>
  <si>
    <t>Benchmark</t>
  </si>
  <si>
    <t>Interpretation</t>
  </si>
  <si>
    <t>Status</t>
  </si>
  <si>
    <t>── LIQUIDITY ──</t>
  </si>
  <si>
    <t>&gt;2.0</t>
  </si>
  <si>
    <t>Ability to cover short-term obligations</t>
  </si>
  <si>
    <t>Quick Ratio</t>
  </si>
  <si>
    <t>&gt;1.0</t>
  </si>
  <si>
    <t>Liquid assets vs current liabilities</t>
  </si>
  <si>
    <t>Cash Ratio</t>
  </si>
  <si>
    <t>&gt;0.5</t>
  </si>
  <si>
    <t>Cash coverage of current liabilities</t>
  </si>
  <si>
    <t>── PROFITABILITY ──</t>
  </si>
  <si>
    <t>Return on Equity (ROE)</t>
  </si>
  <si>
    <t>&gt;15%</t>
  </si>
  <si>
    <t>Net profit as % of equity</t>
  </si>
  <si>
    <t>Return on Assets (ROA)</t>
  </si>
  <si>
    <t>&gt;8%</t>
  </si>
  <si>
    <t>Net profit as % of total assets</t>
  </si>
  <si>
    <t>Return on Investment</t>
  </si>
  <si>
    <t>&gt;12%</t>
  </si>
  <si>
    <t>Net profit as % of invested capital</t>
  </si>
  <si>
    <t>── SOLVENCY ──</t>
  </si>
  <si>
    <t>Debt-to-Equity</t>
  </si>
  <si>
    <t>&lt;0.8</t>
  </si>
  <si>
    <t>Financial leverage ratio</t>
  </si>
  <si>
    <t>Debt-to-Assets</t>
  </si>
  <si>
    <t>&lt;0.5</t>
  </si>
  <si>
    <t>Proportion of assets financed by debt</t>
  </si>
  <si>
    <t>Interest Coverage</t>
  </si>
  <si>
    <t>&gt;3.0x</t>
  </si>
  <si>
    <t>EBIT / Interest expense</t>
  </si>
  <si>
    <t>── EFFICIENCY ──</t>
  </si>
  <si>
    <t>Asset Turnover</t>
  </si>
  <si>
    <t>&gt;0.4x</t>
  </si>
  <si>
    <t>Revenue generated per $ of assets</t>
  </si>
  <si>
    <t>Inventory Days</t>
  </si>
  <si>
    <t>&lt;45 days</t>
  </si>
  <si>
    <t>Days to turn inventory into sales</t>
  </si>
  <si>
    <t>Receivables Days</t>
  </si>
  <si>
    <t>Average collection period</t>
  </si>
  <si>
    <t>REVENUE FORECAST &amp; FINANCIAL PLANNING</t>
  </si>
  <si>
    <t>Forecast based on Assumptions sheet  |  Adjust growth rates in Assumptions!B16:B19</t>
  </si>
  <si>
    <t>Q1 2025F</t>
  </si>
  <si>
    <t>Q2 2025F</t>
  </si>
  <si>
    <t>Q3 2025F</t>
  </si>
  <si>
    <t>ACTUALS (FY 2024)</t>
  </si>
  <si>
    <t>Revenue ($000)</t>
  </si>
  <si>
    <t>Gross Profit ($000)</t>
  </si>
  <si>
    <t>EBITDA ($000)</t>
  </si>
  <si>
    <t>Net Profit ($000)</t>
  </si>
  <si>
    <t>FORECAST (2025)</t>
  </si>
  <si>
    <t>Revenue Forecast ($000)</t>
  </si>
  <si>
    <t>Forecast High (+CI)</t>
  </si>
  <si>
    <t>Forecast Low  (-CI)</t>
  </si>
  <si>
    <t>PROJECTED P&amp;L (based on FY2024 margins)</t>
  </si>
  <si>
    <t>Projected Gross Profit</t>
  </si>
  <si>
    <t>Projected EBITDA</t>
  </si>
  <si>
    <t>Projected Net Profit</t>
  </si>
  <si>
    <t>Projected Gross Margin</t>
  </si>
  <si>
    <t>Projected 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</si>
</sst>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;\-0.0%;\-"/>
    <numFmt numFmtId="166" formatCode="0.00\x"/>
    <numFmt numFmtId="167" formatCode="0.0"/>
  </numFmts>
  <fonts count="13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3"/>
      <color rgb="FF1F3864"/>
      <name val="Arial"/>
      <charset val="1"/>
    </font>
    <font>
      <sz val="10"/>
      <color rgb="FF000000"/>
      <name val="Arial"/>
      <charset val="1"/>
    </font>
    <font>
      <i/>
      <sz val="9"/>
      <color rgb="FF2E75B6"/>
      <name val="Arial"/>
      <charset val="1"/>
    </font>
    <font>
      <b/>
      <sz val="12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C0392B"/>
      <name val="Arial"/>
      <charset val="1"/>
    </font>
    <font>
      <sz val="10"/>
      <color rgb="FF1E8449"/>
      <name val="Arial"/>
      <charset val="1"/>
    </font>
    <font>
      <b/>
      <sz val="10"/>
      <color rgb="FF0000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404040"/>
        <bgColor rgb="FF1F3864"/>
      </patternFill>
    </fill>
    <fill>
      <patternFill patternType="solid">
        <fgColor rgb="FFD6E4F0"/>
        <bgColor rgb="FFD9D9D9"/>
      </patternFill>
    </fill>
    <fill>
      <patternFill patternType="solid">
        <fgColor rgb="FFFADBD8"/>
        <bgColor rgb="FFD9D9D9"/>
      </patternFill>
    </fill>
    <fill>
      <patternFill patternType="solid">
        <fgColor rgb="FFD5F5E3"/>
        <bgColor rgb="FFD6E4F0"/>
      </patternFill>
    </fill>
    <fill>
      <patternFill patternType="solid">
        <fgColor rgb="FFFEF9E7"/>
        <bgColor rgb="FFFFFFFF"/>
      </patternFill>
    </fill>
    <fill>
      <patternFill patternType="solid">
        <fgColor rgb="FFFFFFFF"/>
        <bgColor rgb="FFFEF9E7"/>
      </patternFill>
    </fill>
    <fill>
      <patternFill patternType="solid">
        <fgColor rgb="FFF2F2F2"/>
        <bgColor rgb="FFFEF9E7"/>
      </patternFill>
    </fill>
    <fill>
      <patternFill patternType="solid">
        <fgColor rgb="FFBDD7EE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166" fontId="4" fillId="8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/>
    </xf>
    <xf numFmtId="165" fontId="8" fillId="10" borderId="1" xfId="0" applyNumberFormat="1" applyFont="1" applyFill="1" applyBorder="1" applyAlignment="1">
      <alignment horizontal="right" vertical="center"/>
    </xf>
    <xf numFmtId="165" fontId="8" fillId="9" borderId="1" xfId="0" applyNumberFormat="1" applyFont="1" applyFill="1" applyBorder="1" applyAlignment="1">
      <alignment horizontal="right" vertical="center"/>
    </xf>
    <xf numFmtId="164" fontId="8" fillId="10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/>
    </xf>
    <xf numFmtId="0" fontId="0" fillId="0" borderId="1" xfId="0" applyBorder="1"/>
    <xf numFmtId="164" fontId="9" fillId="11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165" fontId="9" fillId="11" borderId="1" xfId="0" applyNumberFormat="1" applyFont="1" applyFill="1" applyBorder="1" applyAlignment="1">
      <alignment horizontal="right" vertical="center"/>
    </xf>
    <xf numFmtId="165" fontId="5" fillId="9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/>
    </xf>
    <xf numFmtId="164" fontId="9" fillId="8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2" fontId="9" fillId="9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2" fontId="9" fillId="10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right" vertical="center"/>
    </xf>
    <xf numFmtId="165" fontId="9" fillId="10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right" vertical="center"/>
    </xf>
    <xf numFmtId="167" fontId="9" fillId="10" borderId="1" xfId="0" applyNumberFormat="1" applyFont="1" applyFill="1" applyBorder="1" applyAlignment="1">
      <alignment horizontal="right" vertical="center"/>
    </xf>
    <xf numFmtId="167" fontId="9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0" fontId="0" fillId="10" borderId="1" xfId="0" applyFill="1" applyBorder="1"/>
    <xf numFmtId="0" fontId="9" fillId="5" borderId="1" xfId="0" applyFont="1" applyFill="1" applyBorder="1" applyAlignment="1">
      <alignment horizontal="left" vertical="center" wrapText="1"/>
    </xf>
    <xf numFmtId="164" fontId="12" fillId="5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EF9E7"/>
      <rgbColor rgb="FFD6E4F0"/>
      <rgbColor rgb="FF660066"/>
      <rgbColor rgb="FFFF8080"/>
      <rgbColor rgb="FF4A7EBB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ADBD8"/>
      <rgbColor rgb="FF2E75B6"/>
      <rgbColor rgb="FF33CCCC"/>
      <rgbColor rgb="FF98B855"/>
      <rgbColor rgb="FFFFCC00"/>
      <rgbColor rgb="FFFF9900"/>
      <rgbColor rgb="FFFF6600"/>
      <rgbColor rgb="FF7D5FA0"/>
      <rgbColor rgb="FF4F81BD"/>
      <rgbColor rgb="FF1F3864"/>
      <rgbColor rgb="FF1E8449"/>
      <rgbColor rgb="FF003300"/>
      <rgbColor rgb="FF333300"/>
      <rgbColor rgb="FFC0392B"/>
      <rgbColor rgb="FFC0504D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vs Expenses vs Net Profit ($000)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Income!$B$3:$E$3</c:f>
              <c:strCache>
                <c:ptCount val="4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</c:strCache>
            </c:strRef>
          </c:cat>
          <c:val>
            <c:numRef>
              <c:f>Income!$B$4:$E$4</c:f>
              <c:numCache>
                <c:formatCode>\$#,##0;"($"#,##0\);\-</c:formatCode>
                <c:ptCount val="4"/>
                <c:pt idx="0">
                  <c:v>820</c:v>
                </c:pt>
                <c:pt idx="1">
                  <c:v>939.71999999999991</c:v>
                </c:pt>
                <c:pt idx="2">
                  <c:v>1019.5961999999998</c:v>
                </c:pt>
                <c:pt idx="3">
                  <c:v>1179.6728033999998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0-4B32-A324-EC713B9E2396}"/>
            </c:ext>
          </c:extLst>
        </c:ser>
        <c:ser>
          <c:idx val="1"/>
          <c:order val="1"/>
          <c:tx>
            <c:v>Net Profit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Income!$B$3:$E$3</c:f>
              <c:strCache>
                <c:ptCount val="4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</c:strCache>
            </c:strRef>
          </c:cat>
          <c:val>
            <c:numRef>
              <c:f>Income!$B$14:$E$14</c:f>
              <c:numCache>
                <c:formatCode>\$#,##0;"($"#,##0\);\-</c:formatCode>
                <c:ptCount val="4"/>
                <c:pt idx="0">
                  <c:v>159.63749999999996</c:v>
                </c:pt>
                <c:pt idx="1">
                  <c:v>184.77869999999996</c:v>
                </c:pt>
                <c:pt idx="2">
                  <c:v>201.55270199999995</c:v>
                </c:pt>
                <c:pt idx="3">
                  <c:v>235.1687887139999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0-4B32-A324-EC713B9E2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70233"/>
        <c:axId val="69431371"/>
      </c:barChart>
      <c:catAx>
        <c:axId val="711702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31371"/>
        <c:crosses val="autoZero"/>
        <c:auto val="1"/>
        <c:lblAlgn val="ctr"/>
        <c:lblOffset val="100"/>
        <c:noMultiLvlLbl val="0"/>
      </c:catAx>
      <c:valAx>
        <c:axId val="69431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$000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1702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Forecast ($000)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Revenue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Forecast!$B$5:$E$5</c:f>
              <c:numCache>
                <c:formatCode>\$#,##0;"($"#,##0\);\-</c:formatCode>
                <c:ptCount val="4"/>
                <c:pt idx="0">
                  <c:v>820</c:v>
                </c:pt>
                <c:pt idx="1">
                  <c:v>939.71999999999991</c:v>
                </c:pt>
                <c:pt idx="2">
                  <c:v>1019.5961999999998</c:v>
                </c:pt>
                <c:pt idx="3">
                  <c:v>1179.6728033999998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19-4951-9844-2BD77B05897C}"/>
            </c:ext>
          </c:extLst>
        </c:ser>
        <c:ser>
          <c:idx val="1"/>
          <c:order val="1"/>
          <c:tx>
            <c:v>Forecast Revenue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Forecast!$F$12:$H$12</c:f>
              <c:numCache>
                <c:formatCode>\$#,##0;"($"#,##0\);\-</c:formatCode>
                <c:ptCount val="3"/>
                <c:pt idx="0">
                  <c:v>2478492.5599433994</c:v>
                </c:pt>
                <c:pt idx="1">
                  <c:v>2233121796.5090027</c:v>
                </c:pt>
                <c:pt idx="2">
                  <c:v>2233121796.5090027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19-4951-9844-2BD77B05897C}"/>
            </c:ext>
          </c:extLst>
        </c:ser>
        <c:ser>
          <c:idx val="2"/>
          <c:order val="2"/>
          <c:tx>
            <c:v>High Scenario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Forecast!$F$13:$H$13</c:f>
              <c:numCache>
                <c:formatCode>\$#,##0;"($"#,##0\);\-</c:formatCode>
                <c:ptCount val="3"/>
                <c:pt idx="0">
                  <c:v>2751126.7415371737</c:v>
                </c:pt>
                <c:pt idx="1">
                  <c:v>2478765194.1249933</c:v>
                </c:pt>
                <c:pt idx="2">
                  <c:v>2478765194.1249933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19-4951-9844-2BD77B05897C}"/>
            </c:ext>
          </c:extLst>
        </c:ser>
        <c:ser>
          <c:idx val="3"/>
          <c:order val="3"/>
          <c:tx>
            <c:v>Low Scenario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Forecast!$F$14:$H$14</c:f>
              <c:numCache>
                <c:formatCode>\$#,##0;"($"#,##0\);\-</c:formatCode>
                <c:ptCount val="3"/>
                <c:pt idx="0">
                  <c:v>2205858.3783496255</c:v>
                </c:pt>
                <c:pt idx="1">
                  <c:v>1987478398.8930125</c:v>
                </c:pt>
                <c:pt idx="2">
                  <c:v>1987478398.8930125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D19-4951-9844-2BD77B058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487166"/>
        <c:axId val="57851167"/>
      </c:lineChart>
      <c:catAx>
        <c:axId val="70487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51167"/>
        <c:crosses val="autoZero"/>
        <c:auto val="1"/>
        <c:lblAlgn val="ctr"/>
        <c:lblOffset val="100"/>
        <c:noMultiLvlLbl val="0"/>
      </c:catAx>
      <c:valAx>
        <c:axId val="57851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$000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87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7</xdr:col>
      <xdr:colOff>10080</xdr:colOff>
      <xdr:row>43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7</xdr:col>
      <xdr:colOff>448200</xdr:colOff>
      <xdr:row>43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zoomScale="74" zoomScaleNormal="100" workbookViewId="0">
      <selection activeCell="B6" sqref="B6"/>
    </sheetView>
  </sheetViews>
  <sheetFormatPr defaultColWidth="8.6328125" defaultRowHeight="14.5" x14ac:dyDescent="0.35"/>
  <cols>
    <col min="1" max="8" width="16" customWidth="1"/>
  </cols>
  <sheetData>
    <row r="1" spans="1:8" ht="49.5" customHeight="1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ht="19.5" customHeight="1" x14ac:dyDescent="0.35">
      <c r="A2" s="6" t="s">
        <v>1</v>
      </c>
      <c r="B2" s="6"/>
      <c r="C2" s="6"/>
      <c r="D2" s="6"/>
      <c r="E2" s="6"/>
      <c r="F2" s="6"/>
      <c r="G2" s="6"/>
      <c r="H2" s="6"/>
    </row>
    <row r="4" spans="1:8" ht="18" customHeight="1" x14ac:dyDescent="0.3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30" customHeight="1" x14ac:dyDescent="0.35">
      <c r="A5" s="9">
        <f>Income!G5</f>
        <v>-2177.4439518699996</v>
      </c>
      <c r="B5" s="10">
        <f>Income!G8</f>
        <v>1108.5169209519997</v>
      </c>
      <c r="C5" s="11">
        <f>Income!G14</f>
        <v>781.13769071399975</v>
      </c>
      <c r="D5" s="12">
        <f>Income!G17</f>
        <v>0.27999999999999997</v>
      </c>
      <c r="E5" s="13">
        <f>Income!G20</f>
        <v>0</v>
      </c>
      <c r="F5" s="14">
        <f>Income!G22</f>
        <v>0</v>
      </c>
      <c r="G5" s="15" t="str">
        <f>Ratios!C5</f>
        <v>&gt;2.0</v>
      </c>
      <c r="H5" s="16">
        <f>Ratios!C8</f>
        <v>0</v>
      </c>
    </row>
    <row r="6" spans="1:8" ht="18" customHeight="1" x14ac:dyDescent="0.35">
      <c r="A6" s="17" t="s">
        <v>10</v>
      </c>
      <c r="B6" s="18" t="s">
        <v>10</v>
      </c>
      <c r="C6" s="19" t="s">
        <v>10</v>
      </c>
      <c r="D6" s="17" t="s">
        <v>10</v>
      </c>
      <c r="E6" s="20" t="s">
        <v>10</v>
      </c>
      <c r="F6" s="19" t="s">
        <v>10</v>
      </c>
      <c r="G6" s="17" t="s">
        <v>10</v>
      </c>
      <c r="H6" s="20" t="s">
        <v>10</v>
      </c>
    </row>
    <row r="8" spans="1:8" ht="15" customHeight="1" x14ac:dyDescent="0.35">
      <c r="A8" s="5" t="s">
        <v>11</v>
      </c>
      <c r="B8" s="5"/>
      <c r="C8" s="5"/>
      <c r="D8" s="5"/>
      <c r="E8" s="5"/>
      <c r="F8" s="5"/>
      <c r="G8" s="5"/>
      <c r="H8" s="5"/>
    </row>
  </sheetData>
  <mergeCells count="3">
    <mergeCell ref="A1:H1"/>
    <mergeCell ref="A2:H2"/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topLeftCell="A2" zoomScaleNormal="100" workbookViewId="0">
      <selection sqref="A1:E1"/>
    </sheetView>
  </sheetViews>
  <sheetFormatPr defaultColWidth="8.6328125" defaultRowHeight="14.5" x14ac:dyDescent="0.35"/>
  <cols>
    <col min="1" max="1" width="28" customWidth="1"/>
    <col min="2" max="3" width="14" customWidth="1"/>
    <col min="4" max="4" width="30" customWidth="1"/>
    <col min="5" max="5" width="20" customWidth="1"/>
  </cols>
  <sheetData>
    <row r="1" spans="1:5" ht="15" customHeight="1" x14ac:dyDescent="0.35">
      <c r="A1" s="4" t="s">
        <v>12</v>
      </c>
      <c r="B1" s="4"/>
      <c r="C1" s="4"/>
      <c r="D1" s="4"/>
      <c r="E1" s="4"/>
    </row>
    <row r="2" spans="1:5" ht="15" customHeight="1" x14ac:dyDescent="0.35">
      <c r="A2" s="3" t="s">
        <v>13</v>
      </c>
      <c r="B2" s="3"/>
      <c r="C2" s="3"/>
      <c r="D2" s="3"/>
      <c r="E2" s="3"/>
    </row>
    <row r="3" spans="1:5" x14ac:dyDescent="0.35">
      <c r="A3" s="21" t="s">
        <v>14</v>
      </c>
      <c r="B3" s="21" t="s">
        <v>15</v>
      </c>
      <c r="C3" s="21" t="s">
        <v>16</v>
      </c>
      <c r="D3" s="21" t="s">
        <v>17</v>
      </c>
      <c r="E3" s="21" t="s">
        <v>18</v>
      </c>
    </row>
    <row r="4" spans="1:5" x14ac:dyDescent="0.35">
      <c r="A4" s="22" t="s">
        <v>19</v>
      </c>
      <c r="C4" s="23"/>
      <c r="D4" s="23"/>
      <c r="E4" s="23"/>
    </row>
    <row r="5" spans="1:5" x14ac:dyDescent="0.35">
      <c r="A5" s="24" t="s">
        <v>20</v>
      </c>
      <c r="B5" s="25">
        <v>820</v>
      </c>
      <c r="C5" s="24" t="s">
        <v>21</v>
      </c>
      <c r="D5" s="24" t="s">
        <v>22</v>
      </c>
      <c r="E5" s="24" t="s">
        <v>23</v>
      </c>
    </row>
    <row r="6" spans="1:5" x14ac:dyDescent="0.35">
      <c r="A6" s="26" t="s">
        <v>24</v>
      </c>
      <c r="B6" s="27">
        <v>0.14599999999999999</v>
      </c>
      <c r="C6" s="26" t="s">
        <v>25</v>
      </c>
      <c r="D6" s="26" t="s">
        <v>26</v>
      </c>
      <c r="E6" s="26" t="s">
        <v>27</v>
      </c>
    </row>
    <row r="7" spans="1:5" x14ac:dyDescent="0.35">
      <c r="A7" s="24" t="s">
        <v>28</v>
      </c>
      <c r="B7" s="28">
        <v>8.5000000000000006E-2</v>
      </c>
      <c r="C7" s="24" t="s">
        <v>25</v>
      </c>
      <c r="D7" s="24" t="s">
        <v>26</v>
      </c>
      <c r="E7" s="24" t="s">
        <v>27</v>
      </c>
    </row>
    <row r="8" spans="1:5" x14ac:dyDescent="0.35">
      <c r="A8" s="26" t="s">
        <v>29</v>
      </c>
      <c r="B8" s="27">
        <v>0.157</v>
      </c>
      <c r="C8" s="26" t="s">
        <v>25</v>
      </c>
      <c r="D8" s="26" t="s">
        <v>26</v>
      </c>
      <c r="E8" s="26" t="s">
        <v>27</v>
      </c>
    </row>
    <row r="9" spans="1:5" x14ac:dyDescent="0.35">
      <c r="A9" s="22" t="s">
        <v>30</v>
      </c>
      <c r="C9" s="23"/>
      <c r="D9" s="23"/>
      <c r="E9" s="23"/>
    </row>
    <row r="10" spans="1:5" x14ac:dyDescent="0.35">
      <c r="A10" s="26" t="s">
        <v>31</v>
      </c>
      <c r="B10" s="27">
        <v>0.55000000000000004</v>
      </c>
      <c r="C10" s="26" t="s">
        <v>25</v>
      </c>
      <c r="D10" s="26" t="s">
        <v>32</v>
      </c>
      <c r="E10" s="26" t="s">
        <v>33</v>
      </c>
    </row>
    <row r="11" spans="1:5" x14ac:dyDescent="0.35">
      <c r="A11" s="24" t="s">
        <v>34</v>
      </c>
      <c r="B11" s="28">
        <v>0.17</v>
      </c>
      <c r="C11" s="24" t="s">
        <v>25</v>
      </c>
      <c r="D11" s="24" t="s">
        <v>35</v>
      </c>
      <c r="E11" s="24" t="s">
        <v>36</v>
      </c>
    </row>
    <row r="12" spans="1:5" x14ac:dyDescent="0.35">
      <c r="A12" s="26" t="s">
        <v>37</v>
      </c>
      <c r="B12" s="29">
        <v>45</v>
      </c>
      <c r="C12" s="26" t="s">
        <v>21</v>
      </c>
      <c r="D12" s="26" t="s">
        <v>38</v>
      </c>
      <c r="E12" s="26" t="s">
        <v>39</v>
      </c>
    </row>
    <row r="13" spans="1:5" x14ac:dyDescent="0.35">
      <c r="A13" s="24" t="s">
        <v>40</v>
      </c>
      <c r="B13" s="25">
        <v>22</v>
      </c>
      <c r="C13" s="24" t="s">
        <v>21</v>
      </c>
      <c r="D13" s="24" t="s">
        <v>41</v>
      </c>
      <c r="E13" s="24" t="s">
        <v>42</v>
      </c>
    </row>
    <row r="14" spans="1:5" x14ac:dyDescent="0.35">
      <c r="A14" s="26" t="s">
        <v>43</v>
      </c>
      <c r="B14" s="27">
        <v>0.25</v>
      </c>
      <c r="C14" s="26" t="s">
        <v>25</v>
      </c>
      <c r="D14" s="26" t="s">
        <v>44</v>
      </c>
      <c r="E14" s="26" t="s">
        <v>45</v>
      </c>
    </row>
    <row r="15" spans="1:5" x14ac:dyDescent="0.35">
      <c r="A15" s="22" t="s">
        <v>46</v>
      </c>
      <c r="C15" s="23"/>
      <c r="D15" s="23"/>
      <c r="E15" s="23"/>
    </row>
    <row r="16" spans="1:5" x14ac:dyDescent="0.35">
      <c r="A16" s="26" t="s">
        <v>47</v>
      </c>
      <c r="B16" s="29">
        <v>2100</v>
      </c>
      <c r="C16" s="26" t="s">
        <v>21</v>
      </c>
      <c r="D16" s="26" t="s">
        <v>48</v>
      </c>
      <c r="E16" s="26" t="s">
        <v>49</v>
      </c>
    </row>
    <row r="17" spans="1:5" x14ac:dyDescent="0.35">
      <c r="A17" s="24" t="s">
        <v>50</v>
      </c>
      <c r="B17" s="25">
        <v>900</v>
      </c>
      <c r="C17" s="24" t="s">
        <v>21</v>
      </c>
      <c r="D17" s="24" t="s">
        <v>51</v>
      </c>
      <c r="E17" s="24" t="s">
        <v>49</v>
      </c>
    </row>
    <row r="18" spans="1:5" x14ac:dyDescent="0.35">
      <c r="A18" s="22" t="s">
        <v>52</v>
      </c>
      <c r="C18" s="23"/>
      <c r="D18" s="23"/>
      <c r="E18" s="23"/>
    </row>
    <row r="19" spans="1:5" x14ac:dyDescent="0.35">
      <c r="A19" s="24" t="s">
        <v>53</v>
      </c>
      <c r="B19" s="28">
        <v>0.11</v>
      </c>
      <c r="C19" s="24" t="s">
        <v>25</v>
      </c>
      <c r="D19" s="24" t="s">
        <v>54</v>
      </c>
      <c r="E19" s="24" t="s">
        <v>55</v>
      </c>
    </row>
    <row r="20" spans="1:5" x14ac:dyDescent="0.35">
      <c r="A20" s="26" t="s">
        <v>56</v>
      </c>
      <c r="B20" s="27">
        <v>9.1999999999999998E-2</v>
      </c>
      <c r="C20" s="26" t="s">
        <v>25</v>
      </c>
      <c r="D20" s="26" t="s">
        <v>54</v>
      </c>
      <c r="E20" s="26" t="s">
        <v>55</v>
      </c>
    </row>
    <row r="21" spans="1:5" x14ac:dyDescent="0.35">
      <c r="A21" s="24" t="s">
        <v>57</v>
      </c>
      <c r="B21" s="28">
        <v>9.0999999999999998E-2</v>
      </c>
      <c r="C21" s="24" t="s">
        <v>25</v>
      </c>
      <c r="D21" s="24" t="s">
        <v>54</v>
      </c>
      <c r="E21" s="24" t="s">
        <v>55</v>
      </c>
    </row>
    <row r="22" spans="1:5" x14ac:dyDescent="0.35">
      <c r="A22" s="26" t="s">
        <v>58</v>
      </c>
      <c r="B22" s="27">
        <v>0.09</v>
      </c>
      <c r="C22" s="26" t="s">
        <v>25</v>
      </c>
      <c r="D22" s="26" t="s">
        <v>54</v>
      </c>
      <c r="E22" s="26" t="s">
        <v>55</v>
      </c>
    </row>
    <row r="23" spans="1:5" x14ac:dyDescent="0.35">
      <c r="A23" s="24" t="s">
        <v>59</v>
      </c>
      <c r="B23" s="28">
        <v>0.15</v>
      </c>
      <c r="C23" s="24" t="s">
        <v>25</v>
      </c>
      <c r="D23" s="24" t="s">
        <v>60</v>
      </c>
      <c r="E23" s="24" t="s">
        <v>61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28" customWidth="1"/>
    <col min="2" max="6" width="12" customWidth="1"/>
    <col min="7" max="7" width="14" customWidth="1"/>
  </cols>
  <sheetData>
    <row r="1" spans="1:7" ht="15" customHeight="1" x14ac:dyDescent="0.35">
      <c r="A1" s="4" t="s">
        <v>62</v>
      </c>
      <c r="B1" s="4"/>
      <c r="C1" s="4"/>
      <c r="D1" s="4"/>
      <c r="E1" s="4"/>
      <c r="F1" s="4"/>
      <c r="G1" s="4"/>
    </row>
    <row r="2" spans="1:7" ht="15" customHeight="1" x14ac:dyDescent="0.35">
      <c r="A2" s="3" t="s">
        <v>63</v>
      </c>
      <c r="B2" s="3"/>
      <c r="C2" s="3"/>
      <c r="D2" s="3"/>
      <c r="E2" s="3"/>
      <c r="F2" s="3"/>
      <c r="G2" s="3"/>
    </row>
    <row r="3" spans="1:7" x14ac:dyDescent="0.35">
      <c r="A3" s="21"/>
      <c r="B3" s="21" t="s">
        <v>64</v>
      </c>
      <c r="C3" s="21" t="s">
        <v>65</v>
      </c>
      <c r="D3" s="21" t="s">
        <v>66</v>
      </c>
      <c r="E3" s="21" t="s">
        <v>67</v>
      </c>
      <c r="F3" s="21"/>
      <c r="G3" s="21" t="s">
        <v>10</v>
      </c>
    </row>
    <row r="4" spans="1:7" x14ac:dyDescent="0.35">
      <c r="A4" s="30" t="s">
        <v>68</v>
      </c>
      <c r="B4" s="29">
        <f>Assumptions!B5</f>
        <v>820</v>
      </c>
      <c r="C4" s="29">
        <f>B4*(1+Assumptions!B6)</f>
        <v>939.71999999999991</v>
      </c>
      <c r="D4" s="29">
        <f>C4*(1+Assumptions!B7)</f>
        <v>1019.5961999999998</v>
      </c>
      <c r="E4" s="29">
        <f>D4*(1+Assumptions!B8)</f>
        <v>1179.6728033999998</v>
      </c>
      <c r="F4" s="31"/>
      <c r="G4" s="32">
        <f t="shared" ref="G4:G14" si="0">SUM(B4:E4)</f>
        <v>3958.9890033999995</v>
      </c>
    </row>
    <row r="5" spans="1:7" x14ac:dyDescent="0.35">
      <c r="A5" s="33" t="s">
        <v>69</v>
      </c>
      <c r="B5" s="34">
        <f>-B4*Assumptions!$B$10</f>
        <v>-451.00000000000006</v>
      </c>
      <c r="C5" s="34">
        <f>-C4*Assumptions!$B$10</f>
        <v>-516.846</v>
      </c>
      <c r="D5" s="34">
        <f>-D4*Assumptions!$B$10</f>
        <v>-560.77790999999991</v>
      </c>
      <c r="E5" s="34">
        <f>-E4*Assumptions!$B$10</f>
        <v>-648.82004186999995</v>
      </c>
      <c r="F5" s="31"/>
      <c r="G5" s="32">
        <f t="shared" si="0"/>
        <v>-2177.4439518699996</v>
      </c>
    </row>
    <row r="6" spans="1:7" x14ac:dyDescent="0.35">
      <c r="A6" s="35" t="s">
        <v>70</v>
      </c>
      <c r="B6" s="36">
        <f>B4+B5</f>
        <v>368.99999999999994</v>
      </c>
      <c r="C6" s="36">
        <f>C4+C5</f>
        <v>422.87399999999991</v>
      </c>
      <c r="D6" s="36">
        <f>D4+D5</f>
        <v>458.81828999999993</v>
      </c>
      <c r="E6" s="36">
        <f>E4+E5</f>
        <v>530.85276152999984</v>
      </c>
      <c r="F6" s="31"/>
      <c r="G6" s="36">
        <f t="shared" si="0"/>
        <v>1781.5450515299995</v>
      </c>
    </row>
    <row r="7" spans="1:7" x14ac:dyDescent="0.35">
      <c r="A7" s="33" t="s">
        <v>71</v>
      </c>
      <c r="B7" s="37">
        <f>-B4*Assumptions!$B$11</f>
        <v>-139.4</v>
      </c>
      <c r="C7" s="37">
        <f>-C4*Assumptions!$B$11</f>
        <v>-159.75239999999999</v>
      </c>
      <c r="D7" s="37">
        <f>-D4*Assumptions!$B$11</f>
        <v>-173.33135399999998</v>
      </c>
      <c r="E7" s="37">
        <f>-E4*Assumptions!$B$11</f>
        <v>-200.54437657799997</v>
      </c>
      <c r="F7" s="31"/>
      <c r="G7" s="32">
        <f t="shared" si="0"/>
        <v>-673.02813057799995</v>
      </c>
    </row>
    <row r="8" spans="1:7" x14ac:dyDescent="0.35">
      <c r="A8" s="38" t="s">
        <v>72</v>
      </c>
      <c r="B8" s="39">
        <f>B6+B7</f>
        <v>229.59999999999994</v>
      </c>
      <c r="C8" s="39">
        <f>C6+C7</f>
        <v>263.12159999999994</v>
      </c>
      <c r="D8" s="39">
        <f>D6+D7</f>
        <v>285.48693599999996</v>
      </c>
      <c r="E8" s="39">
        <f>E6+E7</f>
        <v>330.30838495199987</v>
      </c>
      <c r="F8" s="31"/>
      <c r="G8" s="39">
        <f t="shared" si="0"/>
        <v>1108.5169209519997</v>
      </c>
    </row>
    <row r="9" spans="1:7" x14ac:dyDescent="0.35">
      <c r="A9" s="33" t="s">
        <v>73</v>
      </c>
      <c r="B9" s="34">
        <f>-Assumptions!$B$12/4</f>
        <v>-11.25</v>
      </c>
      <c r="C9" s="34">
        <f>-Assumptions!$B$12/4</f>
        <v>-11.25</v>
      </c>
      <c r="D9" s="34">
        <f>-Assumptions!$B$12/4</f>
        <v>-11.25</v>
      </c>
      <c r="E9" s="34">
        <f>-Assumptions!$B$12/4</f>
        <v>-11.25</v>
      </c>
      <c r="F9" s="31"/>
      <c r="G9" s="32">
        <f t="shared" si="0"/>
        <v>-45</v>
      </c>
    </row>
    <row r="10" spans="1:7" x14ac:dyDescent="0.35">
      <c r="A10" s="40" t="s">
        <v>74</v>
      </c>
      <c r="B10" s="41">
        <f>B8+B9</f>
        <v>218.34999999999994</v>
      </c>
      <c r="C10" s="41">
        <f>C8+C9</f>
        <v>251.87159999999994</v>
      </c>
      <c r="D10" s="41">
        <f>D8+D9</f>
        <v>274.23693599999996</v>
      </c>
      <c r="E10" s="41">
        <f>E8+E9</f>
        <v>319.05838495199987</v>
      </c>
      <c r="F10" s="31"/>
      <c r="G10" s="32">
        <f t="shared" si="0"/>
        <v>1063.5169209519997</v>
      </c>
    </row>
    <row r="11" spans="1:7" x14ac:dyDescent="0.35">
      <c r="A11" s="33" t="s">
        <v>75</v>
      </c>
      <c r="B11" s="34">
        <f>-Assumptions!$B$13/4</f>
        <v>-5.5</v>
      </c>
      <c r="C11" s="34">
        <f>-Assumptions!$B$13/4</f>
        <v>-5.5</v>
      </c>
      <c r="D11" s="34">
        <f>-Assumptions!$B$13/4</f>
        <v>-5.5</v>
      </c>
      <c r="E11" s="34">
        <f>-Assumptions!$B$13/4</f>
        <v>-5.5</v>
      </c>
      <c r="F11" s="31"/>
      <c r="G11" s="32">
        <f t="shared" si="0"/>
        <v>-22</v>
      </c>
    </row>
    <row r="12" spans="1:7" x14ac:dyDescent="0.35">
      <c r="A12" s="30" t="s">
        <v>76</v>
      </c>
      <c r="B12" s="41">
        <f>B10+B11</f>
        <v>212.84999999999994</v>
      </c>
      <c r="C12" s="41">
        <f>C10+C11</f>
        <v>246.37159999999994</v>
      </c>
      <c r="D12" s="41">
        <f>D10+D11</f>
        <v>268.73693599999996</v>
      </c>
      <c r="E12" s="41">
        <f>E10+E11</f>
        <v>313.55838495199987</v>
      </c>
      <c r="F12" s="31"/>
      <c r="G12" s="32">
        <f t="shared" si="0"/>
        <v>1041.5169209519997</v>
      </c>
    </row>
    <row r="13" spans="1:7" x14ac:dyDescent="0.35">
      <c r="A13" s="33" t="s">
        <v>77</v>
      </c>
      <c r="B13" s="34">
        <f>-B12*Assumptions!$B$14</f>
        <v>-53.212499999999984</v>
      </c>
      <c r="C13" s="34">
        <f>-C12*Assumptions!$B$14</f>
        <v>-61.592899999999986</v>
      </c>
      <c r="D13" s="34">
        <f>-D12*Assumptions!$B$14</f>
        <v>-67.184233999999989</v>
      </c>
      <c r="E13" s="34">
        <f>-E12*Assumptions!$B$14</f>
        <v>-78.389596237999967</v>
      </c>
      <c r="F13" s="31"/>
      <c r="G13" s="32">
        <f t="shared" si="0"/>
        <v>-260.37923023799993</v>
      </c>
    </row>
    <row r="14" spans="1:7" x14ac:dyDescent="0.35">
      <c r="A14" s="35" t="s">
        <v>78</v>
      </c>
      <c r="B14" s="36">
        <f>B12+B13</f>
        <v>159.63749999999996</v>
      </c>
      <c r="C14" s="36">
        <f>C12+C13</f>
        <v>184.77869999999996</v>
      </c>
      <c r="D14" s="36">
        <f>D12+D13</f>
        <v>201.55270199999995</v>
      </c>
      <c r="E14" s="36">
        <f>E12+E13</f>
        <v>235.1687887139999</v>
      </c>
      <c r="F14" s="31"/>
      <c r="G14" s="36">
        <f t="shared" si="0"/>
        <v>781.13769071399975</v>
      </c>
    </row>
    <row r="15" spans="1:7" ht="15" customHeight="1" x14ac:dyDescent="0.35">
      <c r="A15" s="2" t="s">
        <v>79</v>
      </c>
      <c r="B15" s="2"/>
      <c r="C15" s="2"/>
      <c r="D15" s="2"/>
      <c r="E15" s="2"/>
      <c r="F15" s="2"/>
      <c r="G15" s="2"/>
    </row>
    <row r="16" spans="1:7" x14ac:dyDescent="0.35">
      <c r="A16" s="26" t="s">
        <v>80</v>
      </c>
      <c r="B16" s="42">
        <f>IF(B4&lt;&gt;0,B6/B4,0)</f>
        <v>0.44999999999999996</v>
      </c>
      <c r="C16" s="42">
        <f>IF(C4&lt;&gt;0,C6/C4,0)</f>
        <v>0.44999999999999996</v>
      </c>
      <c r="D16" s="42">
        <f>IF(D4&lt;&gt;0,D6/D4,0)</f>
        <v>0.45</v>
      </c>
      <c r="E16" s="42">
        <f>IF(E4&lt;&gt;0,E6/E4,0)</f>
        <v>0.44999999999999996</v>
      </c>
      <c r="F16" s="31"/>
      <c r="G16" s="43">
        <f>IF(G4&lt;&gt;0,G6/G4,0)</f>
        <v>0.4499999999999999</v>
      </c>
    </row>
    <row r="17" spans="1:7" x14ac:dyDescent="0.35">
      <c r="A17" s="24" t="s">
        <v>81</v>
      </c>
      <c r="B17" s="44">
        <f>IF(B4&lt;&gt;0,B8/B4,0)</f>
        <v>0.27999999999999992</v>
      </c>
      <c r="C17" s="44">
        <f>IF(C4&lt;&gt;0,C8/C4,0)</f>
        <v>0.27999999999999997</v>
      </c>
      <c r="D17" s="44">
        <f>IF(D4&lt;&gt;0,D8/D4,0)</f>
        <v>0.28000000000000003</v>
      </c>
      <c r="E17" s="44">
        <f>IF(E4&lt;&gt;0,E8/E4,0)</f>
        <v>0.27999999999999992</v>
      </c>
      <c r="F17" s="31"/>
      <c r="G17" s="43">
        <f>IF(G4&lt;&gt;0,G8/G4,0)</f>
        <v>0.27999999999999997</v>
      </c>
    </row>
    <row r="18" spans="1:7" x14ac:dyDescent="0.35">
      <c r="A18" s="26" t="s">
        <v>82</v>
      </c>
      <c r="B18" s="42">
        <f>IF(B4&lt;&gt;0,B10/B4,0)</f>
        <v>0.26628048780487795</v>
      </c>
      <c r="C18" s="42">
        <f>IF(C4&lt;&gt;0,C10/C4,0)</f>
        <v>0.26802834886987609</v>
      </c>
      <c r="D18" s="42">
        <f>IF(D4&lt;&gt;0,D10/D4,0)</f>
        <v>0.26896622015656785</v>
      </c>
      <c r="E18" s="42">
        <f>IF(E4&lt;&gt;0,E10/E4,0)</f>
        <v>0.27046345735226257</v>
      </c>
      <c r="F18" s="31"/>
      <c r="G18" s="43">
        <f>IF(G4&lt;&gt;0,G10/G4,0)</f>
        <v>0.26863346173445951</v>
      </c>
    </row>
    <row r="19" spans="1:7" x14ac:dyDescent="0.35">
      <c r="A19" s="24" t="s">
        <v>83</v>
      </c>
      <c r="B19" s="44">
        <f>IF(B4&lt;&gt;0,B14/B4,0)</f>
        <v>0.19467987804878045</v>
      </c>
      <c r="C19" s="44">
        <f>IF(C4&lt;&gt;0,C14/C4,0)</f>
        <v>0.19663165623802834</v>
      </c>
      <c r="D19" s="44">
        <f>IF(D4&lt;&gt;0,D14/D4,0)</f>
        <v>0.19767894584150078</v>
      </c>
      <c r="E19" s="44">
        <f>IF(E4&lt;&gt;0,E14/E4,0)</f>
        <v>0.19935086071002656</v>
      </c>
      <c r="F19" s="31"/>
      <c r="G19" s="43">
        <f>IF(G4&lt;&gt;0,G14/G4,0)</f>
        <v>0.19730736560347978</v>
      </c>
    </row>
  </sheetData>
  <mergeCells count="3">
    <mergeCell ref="A1:G1"/>
    <mergeCell ref="A2:G2"/>
    <mergeCell ref="A15:G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28" customWidth="1"/>
    <col min="2" max="6" width="12" customWidth="1"/>
    <col min="7" max="7" width="14" customWidth="1"/>
  </cols>
  <sheetData>
    <row r="1" spans="1:7" ht="15" customHeight="1" x14ac:dyDescent="0.35">
      <c r="A1" s="4" t="s">
        <v>84</v>
      </c>
      <c r="B1" s="4"/>
      <c r="C1" s="4"/>
      <c r="D1" s="4"/>
      <c r="E1" s="4"/>
      <c r="F1" s="4"/>
      <c r="G1" s="4"/>
    </row>
    <row r="2" spans="1:7" ht="15" customHeight="1" x14ac:dyDescent="0.35">
      <c r="A2" s="3" t="s">
        <v>85</v>
      </c>
      <c r="B2" s="3"/>
      <c r="C2" s="3"/>
      <c r="D2" s="3"/>
      <c r="E2" s="3"/>
      <c r="F2" s="3"/>
      <c r="G2" s="3"/>
    </row>
    <row r="3" spans="1:7" x14ac:dyDescent="0.35">
      <c r="A3" s="21"/>
      <c r="B3" s="21" t="s">
        <v>64</v>
      </c>
      <c r="C3" s="21" t="s">
        <v>65</v>
      </c>
      <c r="D3" s="21" t="s">
        <v>66</v>
      </c>
      <c r="E3" s="21" t="s">
        <v>67</v>
      </c>
      <c r="F3" s="21"/>
      <c r="G3" s="21" t="s">
        <v>10</v>
      </c>
    </row>
    <row r="4" spans="1:7" ht="15" customHeight="1" x14ac:dyDescent="0.35">
      <c r="A4" s="3" t="s">
        <v>86</v>
      </c>
      <c r="B4" s="3"/>
      <c r="C4" s="3"/>
      <c r="D4" s="3"/>
      <c r="E4" s="3"/>
      <c r="F4" s="3"/>
      <c r="G4" s="3"/>
    </row>
    <row r="5" spans="1:7" x14ac:dyDescent="0.35">
      <c r="A5" s="24" t="s">
        <v>87</v>
      </c>
      <c r="B5" s="25">
        <v>680</v>
      </c>
      <c r="C5" s="25">
        <v>750</v>
      </c>
      <c r="D5" s="25">
        <v>820</v>
      </c>
      <c r="E5" s="25">
        <v>920</v>
      </c>
      <c r="F5" s="31"/>
      <c r="G5" s="32">
        <f t="shared" ref="G5:G14" si="0">E5</f>
        <v>920</v>
      </c>
    </row>
    <row r="6" spans="1:7" x14ac:dyDescent="0.35">
      <c r="A6" s="26" t="s">
        <v>88</v>
      </c>
      <c r="B6" s="29">
        <v>320</v>
      </c>
      <c r="C6" s="29">
        <v>350</v>
      </c>
      <c r="D6" s="29">
        <v>380</v>
      </c>
      <c r="E6" s="29">
        <v>410</v>
      </c>
      <c r="F6" s="31"/>
      <c r="G6" s="32">
        <f t="shared" si="0"/>
        <v>410</v>
      </c>
    </row>
    <row r="7" spans="1:7" x14ac:dyDescent="0.35">
      <c r="A7" s="24" t="s">
        <v>89</v>
      </c>
      <c r="B7" s="25">
        <v>240</v>
      </c>
      <c r="C7" s="25">
        <v>260</v>
      </c>
      <c r="D7" s="25">
        <v>270</v>
      </c>
      <c r="E7" s="25">
        <v>300</v>
      </c>
      <c r="F7" s="31"/>
      <c r="G7" s="32">
        <f t="shared" si="0"/>
        <v>300</v>
      </c>
    </row>
    <row r="8" spans="1:7" x14ac:dyDescent="0.35">
      <c r="A8" s="26" t="s">
        <v>90</v>
      </c>
      <c r="B8" s="29">
        <v>60</v>
      </c>
      <c r="C8" s="29">
        <v>65</v>
      </c>
      <c r="D8" s="29">
        <v>70</v>
      </c>
      <c r="E8" s="29">
        <v>75</v>
      </c>
      <c r="F8" s="31"/>
      <c r="G8" s="32">
        <f t="shared" si="0"/>
        <v>75</v>
      </c>
    </row>
    <row r="9" spans="1:7" x14ac:dyDescent="0.35">
      <c r="A9" s="38" t="s">
        <v>91</v>
      </c>
      <c r="B9" s="39">
        <f>SUM(B5:B8)</f>
        <v>1300</v>
      </c>
      <c r="C9" s="39">
        <f>SUM(C5:C8)</f>
        <v>1425</v>
      </c>
      <c r="D9" s="39">
        <f>SUM(D5:D8)</f>
        <v>1540</v>
      </c>
      <c r="E9" s="39">
        <f>SUM(E5:E8)</f>
        <v>1705</v>
      </c>
      <c r="F9" s="31"/>
      <c r="G9" s="39">
        <f t="shared" si="0"/>
        <v>1705</v>
      </c>
    </row>
    <row r="10" spans="1:7" x14ac:dyDescent="0.35">
      <c r="A10" s="26" t="s">
        <v>92</v>
      </c>
      <c r="B10" s="29">
        <v>900</v>
      </c>
      <c r="C10" s="29">
        <v>920</v>
      </c>
      <c r="D10" s="29">
        <v>940</v>
      </c>
      <c r="E10" s="29">
        <v>960</v>
      </c>
      <c r="F10" s="31"/>
      <c r="G10" s="32">
        <f t="shared" si="0"/>
        <v>960</v>
      </c>
    </row>
    <row r="11" spans="1:7" x14ac:dyDescent="0.35">
      <c r="A11" s="24" t="s">
        <v>93</v>
      </c>
      <c r="B11" s="25">
        <v>-180</v>
      </c>
      <c r="C11" s="25">
        <v>-191</v>
      </c>
      <c r="D11" s="25">
        <v>-202</v>
      </c>
      <c r="E11" s="25">
        <v>-213</v>
      </c>
      <c r="F11" s="31"/>
      <c r="G11" s="32">
        <f t="shared" si="0"/>
        <v>-213</v>
      </c>
    </row>
    <row r="12" spans="1:7" x14ac:dyDescent="0.35">
      <c r="A12" s="26" t="s">
        <v>94</v>
      </c>
      <c r="B12" s="29">
        <v>150</v>
      </c>
      <c r="C12" s="29">
        <v>160</v>
      </c>
      <c r="D12" s="29">
        <v>165</v>
      </c>
      <c r="E12" s="29">
        <v>170</v>
      </c>
      <c r="F12" s="31"/>
      <c r="G12" s="32">
        <f t="shared" si="0"/>
        <v>170</v>
      </c>
    </row>
    <row r="13" spans="1:7" x14ac:dyDescent="0.35">
      <c r="A13" s="24" t="s">
        <v>95</v>
      </c>
      <c r="B13" s="25">
        <v>170</v>
      </c>
      <c r="C13" s="25">
        <v>178</v>
      </c>
      <c r="D13" s="25">
        <v>185</v>
      </c>
      <c r="E13" s="25">
        <v>195</v>
      </c>
      <c r="F13" s="31"/>
      <c r="G13" s="32">
        <f t="shared" si="0"/>
        <v>195</v>
      </c>
    </row>
    <row r="14" spans="1:7" x14ac:dyDescent="0.35">
      <c r="A14" s="38" t="s">
        <v>96</v>
      </c>
      <c r="B14" s="39">
        <f>B9+SUM(B10:B13)</f>
        <v>2340</v>
      </c>
      <c r="C14" s="39">
        <f>C9+SUM(C10:C13)</f>
        <v>2492</v>
      </c>
      <c r="D14" s="39">
        <f>D9+SUM(D10:D13)</f>
        <v>2628</v>
      </c>
      <c r="E14" s="39">
        <f>E9+SUM(E10:E13)</f>
        <v>2817</v>
      </c>
      <c r="F14" s="31"/>
      <c r="G14" s="39">
        <f t="shared" si="0"/>
        <v>2817</v>
      </c>
    </row>
    <row r="15" spans="1:7" ht="15" customHeight="1" x14ac:dyDescent="0.35">
      <c r="A15" s="3" t="s">
        <v>97</v>
      </c>
      <c r="B15" s="3"/>
      <c r="C15" s="3"/>
      <c r="D15" s="3"/>
      <c r="E15" s="3"/>
      <c r="F15" s="3"/>
      <c r="G15" s="3"/>
    </row>
    <row r="16" spans="1:7" x14ac:dyDescent="0.35">
      <c r="A16" s="26" t="s">
        <v>98</v>
      </c>
      <c r="B16" s="29">
        <v>180</v>
      </c>
      <c r="C16" s="29">
        <v>190</v>
      </c>
      <c r="D16" s="29">
        <v>200</v>
      </c>
      <c r="E16" s="29">
        <v>215</v>
      </c>
      <c r="F16" s="31"/>
      <c r="G16" s="32">
        <f t="shared" ref="G16:G29" si="1">E16</f>
        <v>215</v>
      </c>
    </row>
    <row r="17" spans="1:7" x14ac:dyDescent="0.35">
      <c r="A17" s="24" t="s">
        <v>99</v>
      </c>
      <c r="B17" s="25">
        <v>120</v>
      </c>
      <c r="C17" s="25">
        <v>110</v>
      </c>
      <c r="D17" s="25">
        <v>105</v>
      </c>
      <c r="E17" s="25">
        <v>100</v>
      </c>
      <c r="F17" s="31"/>
      <c r="G17" s="32">
        <f t="shared" si="1"/>
        <v>100</v>
      </c>
    </row>
    <row r="18" spans="1:7" x14ac:dyDescent="0.35">
      <c r="A18" s="26" t="s">
        <v>100</v>
      </c>
      <c r="B18" s="29">
        <v>80</v>
      </c>
      <c r="C18" s="29">
        <v>85</v>
      </c>
      <c r="D18" s="29">
        <v>90</v>
      </c>
      <c r="E18" s="29">
        <v>95</v>
      </c>
      <c r="F18" s="31"/>
      <c r="G18" s="32">
        <f t="shared" si="1"/>
        <v>95</v>
      </c>
    </row>
    <row r="19" spans="1:7" x14ac:dyDescent="0.35">
      <c r="A19" s="24" t="s">
        <v>101</v>
      </c>
      <c r="B19" s="25">
        <v>40</v>
      </c>
      <c r="C19" s="25">
        <v>42</v>
      </c>
      <c r="D19" s="25">
        <v>45</v>
      </c>
      <c r="E19" s="25">
        <v>48</v>
      </c>
      <c r="F19" s="31"/>
      <c r="G19" s="32">
        <f t="shared" si="1"/>
        <v>48</v>
      </c>
    </row>
    <row r="20" spans="1:7" x14ac:dyDescent="0.35">
      <c r="A20" s="45" t="s">
        <v>102</v>
      </c>
      <c r="B20" s="46">
        <f>SUM(B16:B19)</f>
        <v>420</v>
      </c>
      <c r="C20" s="46">
        <f>SUM(C16:C19)</f>
        <v>427</v>
      </c>
      <c r="D20" s="46">
        <f>SUM(D16:D19)</f>
        <v>440</v>
      </c>
      <c r="E20" s="46">
        <f>SUM(E16:E19)</f>
        <v>458</v>
      </c>
      <c r="F20" s="31"/>
      <c r="G20" s="46">
        <f t="shared" si="1"/>
        <v>458</v>
      </c>
    </row>
    <row r="21" spans="1:7" x14ac:dyDescent="0.35">
      <c r="A21" s="24" t="s">
        <v>103</v>
      </c>
      <c r="B21" s="25">
        <v>380</v>
      </c>
      <c r="C21" s="25">
        <v>370</v>
      </c>
      <c r="D21" s="25">
        <v>360</v>
      </c>
      <c r="E21" s="25">
        <v>345</v>
      </c>
      <c r="F21" s="31"/>
      <c r="G21" s="32">
        <f t="shared" si="1"/>
        <v>345</v>
      </c>
    </row>
    <row r="22" spans="1:7" x14ac:dyDescent="0.35">
      <c r="A22" s="26" t="s">
        <v>104</v>
      </c>
      <c r="B22" s="29">
        <v>100</v>
      </c>
      <c r="C22" s="29">
        <v>103</v>
      </c>
      <c r="D22" s="29">
        <v>106</v>
      </c>
      <c r="E22" s="29">
        <v>110</v>
      </c>
      <c r="F22" s="31"/>
      <c r="G22" s="32">
        <f t="shared" si="1"/>
        <v>110</v>
      </c>
    </row>
    <row r="23" spans="1:7" x14ac:dyDescent="0.35">
      <c r="A23" s="45" t="s">
        <v>105</v>
      </c>
      <c r="B23" s="46">
        <f>B20+SUM(B21:B22)</f>
        <v>900</v>
      </c>
      <c r="C23" s="46">
        <f>C20+SUM(C21:C22)</f>
        <v>900</v>
      </c>
      <c r="D23" s="46">
        <f>D20+SUM(D21:D22)</f>
        <v>906</v>
      </c>
      <c r="E23" s="46">
        <f>E20+SUM(E21:E22)</f>
        <v>913</v>
      </c>
      <c r="F23" s="31"/>
      <c r="G23" s="46">
        <f t="shared" si="1"/>
        <v>913</v>
      </c>
    </row>
    <row r="24" spans="1:7" x14ac:dyDescent="0.35">
      <c r="A24" s="26" t="s">
        <v>106</v>
      </c>
      <c r="B24" s="29">
        <v>500</v>
      </c>
      <c r="C24" s="29">
        <v>500</v>
      </c>
      <c r="D24" s="29">
        <v>500</v>
      </c>
      <c r="E24" s="29">
        <v>500</v>
      </c>
      <c r="F24" s="31"/>
      <c r="G24" s="32">
        <f t="shared" si="1"/>
        <v>500</v>
      </c>
    </row>
    <row r="25" spans="1:7" x14ac:dyDescent="0.35">
      <c r="A25" s="24" t="s">
        <v>107</v>
      </c>
      <c r="B25" s="25">
        <v>600</v>
      </c>
      <c r="C25" s="25">
        <v>757</v>
      </c>
      <c r="D25" s="25">
        <v>927</v>
      </c>
      <c r="E25" s="25">
        <v>1097</v>
      </c>
      <c r="F25" s="31"/>
      <c r="G25" s="32">
        <f t="shared" si="1"/>
        <v>1097</v>
      </c>
    </row>
    <row r="26" spans="1:7" x14ac:dyDescent="0.35">
      <c r="A26" s="26" t="s">
        <v>108</v>
      </c>
      <c r="B26" s="29">
        <v>200</v>
      </c>
      <c r="C26" s="29">
        <v>205</v>
      </c>
      <c r="D26" s="29">
        <v>210</v>
      </c>
      <c r="E26" s="29">
        <v>215</v>
      </c>
      <c r="F26" s="31"/>
      <c r="G26" s="32">
        <f t="shared" si="1"/>
        <v>215</v>
      </c>
    </row>
    <row r="27" spans="1:7" x14ac:dyDescent="0.35">
      <c r="A27" s="35" t="s">
        <v>109</v>
      </c>
      <c r="B27" s="36">
        <f>SUM(B24:B26)</f>
        <v>1300</v>
      </c>
      <c r="C27" s="36">
        <f>SUM(C24:C26)</f>
        <v>1462</v>
      </c>
      <c r="D27" s="36">
        <f>SUM(D24:D26)</f>
        <v>1637</v>
      </c>
      <c r="E27" s="36">
        <f>SUM(E24:E26)</f>
        <v>1812</v>
      </c>
      <c r="F27" s="31"/>
      <c r="G27" s="36">
        <f t="shared" si="1"/>
        <v>1812</v>
      </c>
    </row>
    <row r="28" spans="1:7" x14ac:dyDescent="0.35">
      <c r="A28" s="47" t="s">
        <v>110</v>
      </c>
      <c r="B28" s="32">
        <f>B23+B27</f>
        <v>2200</v>
      </c>
      <c r="C28" s="32">
        <f>C23+C27</f>
        <v>2362</v>
      </c>
      <c r="D28" s="32">
        <f>D23+D27</f>
        <v>2543</v>
      </c>
      <c r="E28" s="32">
        <f>E23+E27</f>
        <v>2725</v>
      </c>
      <c r="F28" s="31"/>
      <c r="G28" s="32">
        <f t="shared" si="1"/>
        <v>2725</v>
      </c>
    </row>
    <row r="29" spans="1:7" x14ac:dyDescent="0.35">
      <c r="A29" s="48" t="s">
        <v>111</v>
      </c>
      <c r="B29" s="49">
        <f>B14-B28</f>
        <v>140</v>
      </c>
      <c r="C29" s="49">
        <f>C14-C28</f>
        <v>130</v>
      </c>
      <c r="D29" s="49">
        <f>D14-D28</f>
        <v>85</v>
      </c>
      <c r="E29" s="49">
        <f>E14-E28</f>
        <v>92</v>
      </c>
      <c r="F29" s="31"/>
      <c r="G29" s="49">
        <f t="shared" si="1"/>
        <v>92</v>
      </c>
    </row>
  </sheetData>
  <mergeCells count="4">
    <mergeCell ref="A1:G1"/>
    <mergeCell ref="A2:G2"/>
    <mergeCell ref="A4:G4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30" customWidth="1"/>
    <col min="2" max="6" width="12" customWidth="1"/>
    <col min="7" max="7" width="14" customWidth="1"/>
  </cols>
  <sheetData>
    <row r="1" spans="1:7" ht="15" customHeight="1" x14ac:dyDescent="0.35">
      <c r="A1" s="4" t="s">
        <v>112</v>
      </c>
      <c r="B1" s="4"/>
      <c r="C1" s="4"/>
      <c r="D1" s="4"/>
      <c r="E1" s="4"/>
      <c r="F1" s="4"/>
      <c r="G1" s="4"/>
    </row>
    <row r="2" spans="1:7" ht="15" customHeight="1" x14ac:dyDescent="0.35">
      <c r="A2" s="3" t="s">
        <v>85</v>
      </c>
      <c r="B2" s="3"/>
      <c r="C2" s="3"/>
      <c r="D2" s="3"/>
      <c r="E2" s="3"/>
      <c r="F2" s="3"/>
      <c r="G2" s="3"/>
    </row>
    <row r="3" spans="1:7" x14ac:dyDescent="0.35">
      <c r="A3" s="21"/>
      <c r="B3" s="21" t="s">
        <v>64</v>
      </c>
      <c r="C3" s="21" t="s">
        <v>65</v>
      </c>
      <c r="D3" s="21" t="s">
        <v>66</v>
      </c>
      <c r="E3" s="21" t="s">
        <v>67</v>
      </c>
      <c r="F3" s="21"/>
      <c r="G3" s="21" t="s">
        <v>10</v>
      </c>
    </row>
    <row r="4" spans="1:7" ht="15" customHeight="1" x14ac:dyDescent="0.35">
      <c r="A4" s="3" t="s">
        <v>113</v>
      </c>
      <c r="B4" s="3"/>
      <c r="C4" s="3"/>
      <c r="D4" s="3"/>
      <c r="E4" s="3"/>
      <c r="F4" s="3"/>
      <c r="G4" s="3"/>
    </row>
    <row r="5" spans="1:7" x14ac:dyDescent="0.35">
      <c r="A5" s="24" t="s">
        <v>4</v>
      </c>
      <c r="B5" s="34">
        <f>Income!B14</f>
        <v>159.63749999999996</v>
      </c>
      <c r="C5" s="34">
        <f>Income!C14</f>
        <v>184.77869999999996</v>
      </c>
      <c r="D5" s="34">
        <f>Income!D14</f>
        <v>201.55270199999995</v>
      </c>
      <c r="E5" s="34">
        <f>Income!E14</f>
        <v>235.1687887139999</v>
      </c>
      <c r="F5" s="31"/>
      <c r="G5" s="32">
        <f t="shared" ref="G5:G11" si="0">SUM(B5:E5)</f>
        <v>781.13769071399975</v>
      </c>
    </row>
    <row r="6" spans="1:7" x14ac:dyDescent="0.35">
      <c r="A6" s="26" t="s">
        <v>114</v>
      </c>
      <c r="B6" s="29">
        <v>12</v>
      </c>
      <c r="C6" s="29">
        <v>12</v>
      </c>
      <c r="D6" s="29">
        <v>11</v>
      </c>
      <c r="E6" s="29">
        <v>10</v>
      </c>
      <c r="F6" s="31"/>
      <c r="G6" s="32">
        <f t="shared" si="0"/>
        <v>45</v>
      </c>
    </row>
    <row r="7" spans="1:7" x14ac:dyDescent="0.35">
      <c r="A7" s="24" t="s">
        <v>115</v>
      </c>
      <c r="B7" s="25">
        <v>-22</v>
      </c>
      <c r="C7" s="25">
        <v>-30</v>
      </c>
      <c r="D7" s="25">
        <v>-20</v>
      </c>
      <c r="E7" s="25">
        <v>-30</v>
      </c>
      <c r="F7" s="31"/>
      <c r="G7" s="32">
        <f t="shared" si="0"/>
        <v>-102</v>
      </c>
    </row>
    <row r="8" spans="1:7" x14ac:dyDescent="0.35">
      <c r="A8" s="26" t="s">
        <v>116</v>
      </c>
      <c r="B8" s="29">
        <v>-15</v>
      </c>
      <c r="C8" s="29">
        <v>-20</v>
      </c>
      <c r="D8" s="29">
        <v>-10</v>
      </c>
      <c r="E8" s="29">
        <v>-30</v>
      </c>
      <c r="F8" s="31"/>
      <c r="G8" s="32">
        <f t="shared" si="0"/>
        <v>-75</v>
      </c>
    </row>
    <row r="9" spans="1:7" x14ac:dyDescent="0.35">
      <c r="A9" s="24" t="s">
        <v>117</v>
      </c>
      <c r="B9" s="25">
        <v>10</v>
      </c>
      <c r="C9" s="25">
        <v>10</v>
      </c>
      <c r="D9" s="25">
        <v>10</v>
      </c>
      <c r="E9" s="25">
        <v>15</v>
      </c>
      <c r="F9" s="31"/>
      <c r="G9" s="32">
        <f t="shared" si="0"/>
        <v>45</v>
      </c>
    </row>
    <row r="10" spans="1:7" x14ac:dyDescent="0.35">
      <c r="A10" s="26" t="s">
        <v>118</v>
      </c>
      <c r="B10" s="29">
        <v>5</v>
      </c>
      <c r="C10" s="29">
        <v>8</v>
      </c>
      <c r="D10" s="29">
        <v>7</v>
      </c>
      <c r="E10" s="29">
        <v>6</v>
      </c>
      <c r="F10" s="31"/>
      <c r="G10" s="32">
        <f t="shared" si="0"/>
        <v>26</v>
      </c>
    </row>
    <row r="11" spans="1:7" x14ac:dyDescent="0.35">
      <c r="A11" s="35" t="s">
        <v>119</v>
      </c>
      <c r="B11" s="36">
        <f>SUM(B5:B10)</f>
        <v>149.63749999999996</v>
      </c>
      <c r="C11" s="36">
        <f>SUM(C5:C10)</f>
        <v>164.77869999999996</v>
      </c>
      <c r="D11" s="36">
        <f>SUM(D5:D10)</f>
        <v>199.55270199999995</v>
      </c>
      <c r="E11" s="36">
        <f>SUM(E5:E10)</f>
        <v>206.1687887139999</v>
      </c>
      <c r="F11" s="31"/>
      <c r="G11" s="36">
        <f t="shared" si="0"/>
        <v>720.13769071399975</v>
      </c>
    </row>
    <row r="12" spans="1:7" ht="15" customHeight="1" x14ac:dyDescent="0.35">
      <c r="A12" s="3" t="s">
        <v>120</v>
      </c>
      <c r="B12" s="3"/>
      <c r="C12" s="3"/>
      <c r="D12" s="3"/>
      <c r="E12" s="3"/>
      <c r="F12" s="3"/>
      <c r="G12" s="3"/>
    </row>
    <row r="13" spans="1:7" x14ac:dyDescent="0.35">
      <c r="A13" s="24" t="s">
        <v>121</v>
      </c>
      <c r="B13" s="25">
        <v>-80</v>
      </c>
      <c r="C13" s="25">
        <v>-100</v>
      </c>
      <c r="D13" s="25">
        <v>-90</v>
      </c>
      <c r="E13" s="25">
        <v>-120</v>
      </c>
      <c r="F13" s="31"/>
      <c r="G13" s="32">
        <f>SUM(B13:E13)</f>
        <v>-390</v>
      </c>
    </row>
    <row r="14" spans="1:7" x14ac:dyDescent="0.35">
      <c r="A14" s="26" t="s">
        <v>122</v>
      </c>
      <c r="B14" s="29">
        <v>-20</v>
      </c>
      <c r="C14" s="29">
        <v>-15</v>
      </c>
      <c r="D14" s="29">
        <v>-18</v>
      </c>
      <c r="E14" s="29">
        <v>-22</v>
      </c>
      <c r="F14" s="31"/>
      <c r="G14" s="32">
        <f>SUM(B14:E14)</f>
        <v>-75</v>
      </c>
    </row>
    <row r="15" spans="1:7" x14ac:dyDescent="0.35">
      <c r="A15" s="24" t="s">
        <v>123</v>
      </c>
      <c r="B15" s="25">
        <v>10</v>
      </c>
      <c r="C15" s="25">
        <v>5</v>
      </c>
      <c r="D15" s="25">
        <v>8</v>
      </c>
      <c r="E15" s="25">
        <v>12</v>
      </c>
      <c r="F15" s="31"/>
      <c r="G15" s="32">
        <f>SUM(B15:E15)</f>
        <v>35</v>
      </c>
    </row>
    <row r="16" spans="1:7" x14ac:dyDescent="0.35">
      <c r="A16" s="45" t="s">
        <v>124</v>
      </c>
      <c r="B16" s="46">
        <f>SUM(B13:B15)</f>
        <v>-90</v>
      </c>
      <c r="C16" s="46">
        <f>SUM(C13:C15)</f>
        <v>-110</v>
      </c>
      <c r="D16" s="46">
        <f>SUM(D13:D15)</f>
        <v>-100</v>
      </c>
      <c r="E16" s="46">
        <f>SUM(E13:E15)</f>
        <v>-130</v>
      </c>
      <c r="F16" s="31"/>
      <c r="G16" s="46">
        <f>SUM(B16:E16)</f>
        <v>-430</v>
      </c>
    </row>
    <row r="17" spans="1:7" ht="15" customHeight="1" x14ac:dyDescent="0.35">
      <c r="A17" s="3" t="s">
        <v>125</v>
      </c>
      <c r="B17" s="3"/>
      <c r="C17" s="3"/>
      <c r="D17" s="3"/>
      <c r="E17" s="3"/>
      <c r="F17" s="3"/>
      <c r="G17" s="3"/>
    </row>
    <row r="18" spans="1:7" x14ac:dyDescent="0.35">
      <c r="A18" s="26" t="s">
        <v>126</v>
      </c>
      <c r="B18" s="29">
        <v>-30</v>
      </c>
      <c r="C18" s="29">
        <v>-30</v>
      </c>
      <c r="D18" s="29">
        <v>-30</v>
      </c>
      <c r="E18" s="29">
        <v>-30</v>
      </c>
      <c r="F18" s="31"/>
      <c r="G18" s="32">
        <f>SUM(B18:E18)</f>
        <v>-120</v>
      </c>
    </row>
    <row r="19" spans="1:7" x14ac:dyDescent="0.35">
      <c r="A19" s="24" t="s">
        <v>127</v>
      </c>
      <c r="B19" s="25">
        <v>-20</v>
      </c>
      <c r="C19" s="25">
        <v>-20</v>
      </c>
      <c r="D19" s="25">
        <v>-20</v>
      </c>
      <c r="E19" s="25">
        <v>-20</v>
      </c>
      <c r="F19" s="31"/>
      <c r="G19" s="32">
        <f>SUM(B19:E19)</f>
        <v>-80</v>
      </c>
    </row>
    <row r="20" spans="1:7" x14ac:dyDescent="0.35">
      <c r="A20" s="26" t="s">
        <v>128</v>
      </c>
      <c r="B20" s="29">
        <v>0</v>
      </c>
      <c r="C20" s="29">
        <v>0</v>
      </c>
      <c r="D20" s="29">
        <v>0</v>
      </c>
      <c r="E20" s="29">
        <v>0</v>
      </c>
      <c r="F20" s="31"/>
      <c r="G20" s="32">
        <f>SUM(B20:E20)</f>
        <v>0</v>
      </c>
    </row>
    <row r="21" spans="1:7" x14ac:dyDescent="0.35">
      <c r="A21" s="50" t="s">
        <v>129</v>
      </c>
      <c r="B21" s="51">
        <f>SUM(B18:B20)</f>
        <v>-50</v>
      </c>
      <c r="C21" s="51">
        <f>SUM(C18:C20)</f>
        <v>-50</v>
      </c>
      <c r="D21" s="51">
        <f>SUM(D18:D20)</f>
        <v>-50</v>
      </c>
      <c r="E21" s="51">
        <f>SUM(E18:E20)</f>
        <v>-50</v>
      </c>
      <c r="F21" s="31"/>
      <c r="G21" s="51">
        <f>SUM(B21:E21)</f>
        <v>-200</v>
      </c>
    </row>
    <row r="22" spans="1:7" x14ac:dyDescent="0.35">
      <c r="A22" s="38" t="s">
        <v>130</v>
      </c>
      <c r="B22" s="39">
        <f>B11+B16+B21</f>
        <v>9.6374999999999602</v>
      </c>
      <c r="C22" s="39">
        <f>C11+C16+C21</f>
        <v>4.778699999999958</v>
      </c>
      <c r="D22" s="39">
        <f>D11+D16+D21</f>
        <v>49.552701999999954</v>
      </c>
      <c r="E22" s="39">
        <f>E11+E16+E21</f>
        <v>26.168788713999902</v>
      </c>
      <c r="F22" s="31"/>
      <c r="G22" s="39">
        <f>B22+C22+D22+E22</f>
        <v>90.137690713999774</v>
      </c>
    </row>
  </sheetData>
  <mergeCells count="5">
    <mergeCell ref="A1:G1"/>
    <mergeCell ref="A2:G2"/>
    <mergeCell ref="A4:G4"/>
    <mergeCell ref="A12:G1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28" customWidth="1"/>
    <col min="2" max="3" width="12" customWidth="1"/>
    <col min="4" max="5" width="18" customWidth="1"/>
  </cols>
  <sheetData>
    <row r="1" spans="1:5" ht="15" customHeight="1" x14ac:dyDescent="0.35">
      <c r="A1" s="4" t="s">
        <v>131</v>
      </c>
      <c r="B1" s="4"/>
      <c r="C1" s="4"/>
      <c r="D1" s="4"/>
      <c r="E1" s="4"/>
    </row>
    <row r="2" spans="1:5" ht="15" customHeight="1" x14ac:dyDescent="0.35">
      <c r="A2" s="3" t="s">
        <v>132</v>
      </c>
      <c r="B2" s="3"/>
      <c r="C2" s="3"/>
      <c r="D2" s="3"/>
      <c r="E2" s="3"/>
    </row>
    <row r="3" spans="1:5" x14ac:dyDescent="0.35">
      <c r="A3" s="21" t="s">
        <v>133</v>
      </c>
      <c r="B3" s="21" t="s">
        <v>15</v>
      </c>
      <c r="C3" s="21" t="s">
        <v>134</v>
      </c>
      <c r="D3" s="21" t="s">
        <v>135</v>
      </c>
      <c r="E3" s="21" t="s">
        <v>136</v>
      </c>
    </row>
    <row r="4" spans="1:5" x14ac:dyDescent="0.35">
      <c r="A4" s="22" t="s">
        <v>137</v>
      </c>
      <c r="B4" s="52"/>
      <c r="C4" s="52"/>
      <c r="D4" s="52"/>
      <c r="E4" s="52"/>
    </row>
    <row r="5" spans="1:5" x14ac:dyDescent="0.35">
      <c r="A5" s="24" t="s">
        <v>8</v>
      </c>
      <c r="B5" s="53">
        <f>BalanceSheet!E9/BalanceSheet!E20</f>
        <v>3.7227074235807862</v>
      </c>
      <c r="C5" s="54" t="s">
        <v>138</v>
      </c>
      <c r="D5" s="24" t="s">
        <v>139</v>
      </c>
      <c r="E5" s="55" t="str">
        <f>IF(B5&lt;&gt;"","✓ On Track","–")</f>
        <v>✓ On Track</v>
      </c>
    </row>
    <row r="6" spans="1:5" x14ac:dyDescent="0.35">
      <c r="A6" s="26" t="s">
        <v>140</v>
      </c>
      <c r="B6" s="56">
        <f>(BalanceSheet!E5+BalanceSheet!E6)/BalanceSheet!E20</f>
        <v>2.9039301310043668</v>
      </c>
      <c r="C6" s="57" t="s">
        <v>141</v>
      </c>
      <c r="D6" s="26" t="s">
        <v>142</v>
      </c>
      <c r="E6" s="58" t="str">
        <f>IF(B6&lt;&gt;"","✓ On Track","–")</f>
        <v>✓ On Track</v>
      </c>
    </row>
    <row r="7" spans="1:5" x14ac:dyDescent="0.35">
      <c r="A7" s="24" t="s">
        <v>143</v>
      </c>
      <c r="B7" s="53">
        <f>BalanceSheet!E5/BalanceSheet!E20</f>
        <v>2.0087336244541483</v>
      </c>
      <c r="C7" s="54" t="s">
        <v>144</v>
      </c>
      <c r="D7" s="24" t="s">
        <v>145</v>
      </c>
      <c r="E7" s="55" t="str">
        <f>IF(B7&lt;&gt;"","✓ On Track","–")</f>
        <v>✓ On Track</v>
      </c>
    </row>
    <row r="8" spans="1:5" x14ac:dyDescent="0.35">
      <c r="A8" s="22" t="s">
        <v>146</v>
      </c>
      <c r="B8" s="52"/>
      <c r="C8" s="52"/>
      <c r="D8" s="52"/>
      <c r="E8" s="52"/>
    </row>
    <row r="9" spans="1:5" x14ac:dyDescent="0.35">
      <c r="A9" s="24" t="s">
        <v>147</v>
      </c>
      <c r="B9" s="59">
        <f>Income!G14/BalanceSheet!E27</f>
        <v>0.43109144079139061</v>
      </c>
      <c r="C9" s="54" t="s">
        <v>148</v>
      </c>
      <c r="D9" s="24" t="s">
        <v>149</v>
      </c>
      <c r="E9" s="55" t="str">
        <f>IF(B9&lt;&gt;"","✓ On Track","–")</f>
        <v>✓ On Track</v>
      </c>
    </row>
    <row r="10" spans="1:5" x14ac:dyDescent="0.35">
      <c r="A10" s="26" t="s">
        <v>150</v>
      </c>
      <c r="B10" s="60">
        <f>Income!G14/BalanceSheet!E14</f>
        <v>0.27729417490734815</v>
      </c>
      <c r="C10" s="57" t="s">
        <v>151</v>
      </c>
      <c r="D10" s="26" t="s">
        <v>152</v>
      </c>
      <c r="E10" s="58" t="str">
        <f>IF(B10&lt;&gt;"","✓ On Track","–")</f>
        <v>✓ On Track</v>
      </c>
    </row>
    <row r="11" spans="1:5" x14ac:dyDescent="0.35">
      <c r="A11" s="24" t="s">
        <v>153</v>
      </c>
      <c r="B11" s="59">
        <f>Income!G14/(BalanceSheet!E14-BalanceSheet!E23)</f>
        <v>0.41026139218172253</v>
      </c>
      <c r="C11" s="54" t="s">
        <v>154</v>
      </c>
      <c r="D11" s="24" t="s">
        <v>155</v>
      </c>
      <c r="E11" s="55" t="str">
        <f>IF(B11&lt;&gt;"","✓ On Track","–")</f>
        <v>✓ On Track</v>
      </c>
    </row>
    <row r="12" spans="1:5" x14ac:dyDescent="0.35">
      <c r="A12" s="22" t="s">
        <v>156</v>
      </c>
      <c r="B12" s="52"/>
      <c r="C12" s="52"/>
      <c r="D12" s="52"/>
      <c r="E12" s="52"/>
    </row>
    <row r="13" spans="1:5" x14ac:dyDescent="0.35">
      <c r="A13" s="24" t="s">
        <v>157</v>
      </c>
      <c r="B13" s="53">
        <f>BalanceSheet!E23/BalanceSheet!E27</f>
        <v>0.50386313465783661</v>
      </c>
      <c r="C13" s="54" t="s">
        <v>158</v>
      </c>
      <c r="D13" s="24" t="s">
        <v>159</v>
      </c>
      <c r="E13" s="55" t="str">
        <f>IF(B13&lt;&gt;"","✓ On Track","–")</f>
        <v>✓ On Track</v>
      </c>
    </row>
    <row r="14" spans="1:5" x14ac:dyDescent="0.35">
      <c r="A14" s="26" t="s">
        <v>160</v>
      </c>
      <c r="B14" s="56">
        <f>BalanceSheet!E23/BalanceSheet!E14</f>
        <v>0.32410365637202698</v>
      </c>
      <c r="C14" s="57" t="s">
        <v>161</v>
      </c>
      <c r="D14" s="26" t="s">
        <v>162</v>
      </c>
      <c r="E14" s="58" t="str">
        <f>IF(B14&lt;&gt;"","✓ On Track","–")</f>
        <v>✓ On Track</v>
      </c>
    </row>
    <row r="15" spans="1:5" x14ac:dyDescent="0.35">
      <c r="A15" s="24" t="s">
        <v>163</v>
      </c>
      <c r="B15" s="61">
        <f>Income!G10/(-Income!G11)</f>
        <v>48.341678225090895</v>
      </c>
      <c r="C15" s="54" t="s">
        <v>164</v>
      </c>
      <c r="D15" s="24" t="s">
        <v>165</v>
      </c>
      <c r="E15" s="55" t="str">
        <f>IF(B15&lt;&gt;"","✓ On Track","–")</f>
        <v>✓ On Track</v>
      </c>
    </row>
    <row r="16" spans="1:5" x14ac:dyDescent="0.35">
      <c r="A16" s="22" t="s">
        <v>166</v>
      </c>
      <c r="B16" s="52"/>
      <c r="C16" s="52"/>
      <c r="D16" s="52"/>
      <c r="E16" s="52"/>
    </row>
    <row r="17" spans="1:5" x14ac:dyDescent="0.35">
      <c r="A17" s="24" t="s">
        <v>167</v>
      </c>
      <c r="B17" s="61">
        <f>Income!G4/BalanceSheet!E14</f>
        <v>1.4053919074902377</v>
      </c>
      <c r="C17" s="54" t="s">
        <v>168</v>
      </c>
      <c r="D17" s="24" t="s">
        <v>169</v>
      </c>
      <c r="E17" s="55" t="str">
        <f>IF(B17&lt;&gt;"","✓ On Track","–")</f>
        <v>✓ On Track</v>
      </c>
    </row>
    <row r="18" spans="1:5" x14ac:dyDescent="0.35">
      <c r="A18" s="26" t="s">
        <v>170</v>
      </c>
      <c r="B18" s="62">
        <f>(BalanceSheet!E7/(-Income!G5))*365</f>
        <v>50.288320811179027</v>
      </c>
      <c r="C18" s="57" t="s">
        <v>171</v>
      </c>
      <c r="D18" s="26" t="s">
        <v>172</v>
      </c>
      <c r="E18" s="58" t="str">
        <f>IF(B18&lt;&gt;"","✓ On Track","–")</f>
        <v>✓ On Track</v>
      </c>
    </row>
    <row r="19" spans="1:5" x14ac:dyDescent="0.35">
      <c r="A19" s="24" t="s">
        <v>173</v>
      </c>
      <c r="B19" s="63">
        <f>(BalanceSheet!E6/Income!G4)*365</f>
        <v>37.800054476402899</v>
      </c>
      <c r="C19" s="54" t="s">
        <v>171</v>
      </c>
      <c r="D19" s="24" t="s">
        <v>174</v>
      </c>
      <c r="E19" s="55" t="str">
        <f>IF(B19&lt;&gt;"","✓ On Track","–")</f>
        <v>✓ On Track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28" customWidth="1"/>
    <col min="2" max="7" width="13" customWidth="1"/>
    <col min="8" max="8" width="14" customWidth="1"/>
  </cols>
  <sheetData>
    <row r="1" spans="1:8" ht="15" customHeight="1" x14ac:dyDescent="0.35">
      <c r="A1" s="4" t="s">
        <v>175</v>
      </c>
      <c r="B1" s="4"/>
      <c r="C1" s="4"/>
      <c r="D1" s="4"/>
      <c r="E1" s="4"/>
      <c r="F1" s="4"/>
      <c r="G1" s="4"/>
      <c r="H1" s="4"/>
    </row>
    <row r="2" spans="1:8" ht="15" customHeight="1" x14ac:dyDescent="0.35">
      <c r="A2" s="3" t="s">
        <v>176</v>
      </c>
      <c r="B2" s="3"/>
      <c r="C2" s="3"/>
      <c r="D2" s="3"/>
      <c r="E2" s="3"/>
      <c r="F2" s="3"/>
      <c r="G2" s="3"/>
      <c r="H2" s="3"/>
    </row>
    <row r="3" spans="1:8" x14ac:dyDescent="0.35">
      <c r="A3" s="21"/>
      <c r="B3" s="21" t="s">
        <v>64</v>
      </c>
      <c r="C3" s="21" t="s">
        <v>65</v>
      </c>
      <c r="D3" s="21" t="s">
        <v>66</v>
      </c>
      <c r="E3" s="21" t="s">
        <v>67</v>
      </c>
      <c r="F3" s="21" t="s">
        <v>177</v>
      </c>
      <c r="G3" s="21" t="s">
        <v>178</v>
      </c>
      <c r="H3" s="21" t="s">
        <v>179</v>
      </c>
    </row>
    <row r="4" spans="1:8" ht="15" customHeight="1" x14ac:dyDescent="0.35">
      <c r="A4" s="1" t="s">
        <v>180</v>
      </c>
      <c r="B4" s="1"/>
      <c r="C4" s="1"/>
      <c r="D4" s="1"/>
      <c r="E4" s="1"/>
      <c r="F4" s="1"/>
      <c r="G4" s="1"/>
      <c r="H4" s="1"/>
    </row>
    <row r="5" spans="1:8" x14ac:dyDescent="0.35">
      <c r="A5" s="24" t="s">
        <v>181</v>
      </c>
      <c r="B5" s="34">
        <f>Income!B4</f>
        <v>820</v>
      </c>
      <c r="C5" s="34">
        <f>Income!C4</f>
        <v>939.71999999999991</v>
      </c>
      <c r="D5" s="34">
        <f>Income!D4</f>
        <v>1019.5961999999998</v>
      </c>
      <c r="E5" s="34">
        <f>Income!E4</f>
        <v>1179.6728033999998</v>
      </c>
      <c r="F5" s="64"/>
      <c r="G5" s="64"/>
      <c r="H5" s="64"/>
    </row>
    <row r="6" spans="1:8" x14ac:dyDescent="0.35">
      <c r="A6" s="26" t="s">
        <v>182</v>
      </c>
      <c r="B6" s="37">
        <f>Income!B6</f>
        <v>368.99999999999994</v>
      </c>
      <c r="C6" s="37">
        <f>Income!C6</f>
        <v>422.87399999999991</v>
      </c>
      <c r="D6" s="37">
        <f>Income!D6</f>
        <v>458.81828999999993</v>
      </c>
      <c r="E6" s="37">
        <f>Income!E6</f>
        <v>530.85276152999984</v>
      </c>
      <c r="F6" s="65"/>
      <c r="G6" s="65"/>
      <c r="H6" s="65"/>
    </row>
    <row r="7" spans="1:8" x14ac:dyDescent="0.35">
      <c r="A7" s="24" t="s">
        <v>183</v>
      </c>
      <c r="B7" s="34">
        <f>Income!B8</f>
        <v>229.59999999999994</v>
      </c>
      <c r="C7" s="34">
        <f>Income!C8</f>
        <v>263.12159999999994</v>
      </c>
      <c r="D7" s="34">
        <f>Income!D8</f>
        <v>285.48693599999996</v>
      </c>
      <c r="E7" s="34">
        <f>Income!E8</f>
        <v>330.30838495199987</v>
      </c>
      <c r="F7" s="64"/>
      <c r="G7" s="64"/>
      <c r="H7" s="64"/>
    </row>
    <row r="8" spans="1:8" x14ac:dyDescent="0.35">
      <c r="A8" s="26" t="s">
        <v>184</v>
      </c>
      <c r="B8" s="37">
        <f>Income!B14</f>
        <v>159.63749999999996</v>
      </c>
      <c r="C8" s="37">
        <f>Income!C14</f>
        <v>184.77869999999996</v>
      </c>
      <c r="D8" s="37">
        <f>Income!D14</f>
        <v>201.55270199999995</v>
      </c>
      <c r="E8" s="37">
        <f>Income!E14</f>
        <v>235.1687887139999</v>
      </c>
      <c r="F8" s="65"/>
      <c r="G8" s="65"/>
      <c r="H8" s="65"/>
    </row>
    <row r="9" spans="1:8" x14ac:dyDescent="0.35">
      <c r="A9" s="24" t="s">
        <v>80</v>
      </c>
      <c r="B9" s="44">
        <f>Income!B16</f>
        <v>0.44999999999999996</v>
      </c>
      <c r="C9" s="44">
        <f>Income!C16</f>
        <v>0.44999999999999996</v>
      </c>
      <c r="D9" s="44">
        <f>Income!D16</f>
        <v>0.45</v>
      </c>
      <c r="E9" s="44">
        <f>Income!E16</f>
        <v>0.44999999999999996</v>
      </c>
      <c r="F9" s="64"/>
      <c r="G9" s="64"/>
      <c r="H9" s="64"/>
    </row>
    <row r="10" spans="1:8" x14ac:dyDescent="0.35">
      <c r="A10" s="26" t="s">
        <v>83</v>
      </c>
      <c r="B10" s="42">
        <f>Income!B19</f>
        <v>0.19467987804878045</v>
      </c>
      <c r="C10" s="42">
        <f>Income!C19</f>
        <v>0.19663165623802834</v>
      </c>
      <c r="D10" s="42">
        <f>Income!D19</f>
        <v>0.19767894584150078</v>
      </c>
      <c r="E10" s="42">
        <f>Income!E19</f>
        <v>0.19935086071002656</v>
      </c>
      <c r="F10" s="65"/>
      <c r="G10" s="65"/>
      <c r="H10" s="65"/>
    </row>
    <row r="11" spans="1:8" ht="15" customHeight="1" x14ac:dyDescent="0.35">
      <c r="A11" s="3" t="s">
        <v>185</v>
      </c>
      <c r="B11" s="3"/>
      <c r="C11" s="3"/>
      <c r="D11" s="3"/>
      <c r="E11" s="3"/>
      <c r="F11" s="3"/>
      <c r="G11" s="3"/>
      <c r="H11" s="3"/>
    </row>
    <row r="12" spans="1:8" x14ac:dyDescent="0.35">
      <c r="A12" s="66" t="s">
        <v>186</v>
      </c>
      <c r="B12" s="37">
        <f>Income!E4</f>
        <v>1179.6728033999998</v>
      </c>
      <c r="C12" s="65"/>
      <c r="D12" s="65"/>
      <c r="E12" s="65"/>
      <c r="F12" s="67">
        <f>Income!E4*(1+Assumptions!B16)</f>
        <v>2478492.5599433994</v>
      </c>
      <c r="G12" s="67">
        <f>F12*(1+Assumptions!B17)</f>
        <v>2233121796.5090027</v>
      </c>
      <c r="H12" s="67">
        <f>G12*(1+Assumptions!B18)</f>
        <v>2233121796.5090027</v>
      </c>
    </row>
    <row r="13" spans="1:8" x14ac:dyDescent="0.35">
      <c r="A13" s="68" t="s">
        <v>187</v>
      </c>
      <c r="B13" s="31"/>
      <c r="C13" s="31"/>
      <c r="D13" s="31"/>
      <c r="E13" s="31"/>
      <c r="F13" s="69">
        <f>F12*(1+Assumptions!$B$19)</f>
        <v>2751126.7415371737</v>
      </c>
      <c r="G13" s="69">
        <f>G12*(1+Assumptions!$B$19)</f>
        <v>2478765194.1249933</v>
      </c>
      <c r="H13" s="69">
        <f>H12*(1+Assumptions!$B$19)</f>
        <v>2478765194.1249933</v>
      </c>
    </row>
    <row r="14" spans="1:8" x14ac:dyDescent="0.35">
      <c r="A14" s="70" t="s">
        <v>188</v>
      </c>
      <c r="B14" s="31"/>
      <c r="C14" s="31"/>
      <c r="D14" s="31"/>
      <c r="E14" s="31"/>
      <c r="F14" s="71">
        <f>F12*(1-Assumptions!$B$19)</f>
        <v>2205858.3783496255</v>
      </c>
      <c r="G14" s="71">
        <f>G12*(1-Assumptions!$B$19)</f>
        <v>1987478398.8930125</v>
      </c>
      <c r="H14" s="71">
        <f>H12*(1-Assumptions!$B$19)</f>
        <v>1987478398.8930125</v>
      </c>
    </row>
    <row r="15" spans="1:8" ht="15" customHeight="1" x14ac:dyDescent="0.35">
      <c r="A15" s="1" t="s">
        <v>189</v>
      </c>
      <c r="B15" s="1"/>
      <c r="C15" s="1"/>
      <c r="D15" s="1"/>
      <c r="E15" s="1"/>
      <c r="F15" s="1"/>
      <c r="G15" s="1"/>
      <c r="H15" s="1"/>
    </row>
    <row r="16" spans="1:8" x14ac:dyDescent="0.35">
      <c r="A16" s="30" t="s">
        <v>190</v>
      </c>
      <c r="B16" s="65"/>
      <c r="C16" s="65"/>
      <c r="D16" s="65"/>
      <c r="E16" s="65"/>
      <c r="F16" s="36">
        <f>F12*Assumptions!$B$10</f>
        <v>1363170.9079688697</v>
      </c>
      <c r="G16" s="36">
        <f>G12*Assumptions!$B$10</f>
        <v>1228216988.0799515</v>
      </c>
      <c r="H16" s="36">
        <f>H12*Assumptions!$B$10</f>
        <v>1228216988.0799515</v>
      </c>
    </row>
    <row r="17" spans="1:8" x14ac:dyDescent="0.35">
      <c r="A17" s="48" t="s">
        <v>191</v>
      </c>
      <c r="B17" s="64"/>
      <c r="C17" s="64"/>
      <c r="D17" s="64"/>
      <c r="E17" s="64"/>
      <c r="F17" s="39">
        <f>F16-F12*Assumptions!$B$11</f>
        <v>941827.17277849175</v>
      </c>
      <c r="G17" s="39">
        <f>G16-G12*Assumptions!$B$11</f>
        <v>848586282.67342103</v>
      </c>
      <c r="H17" s="39">
        <f>H16-H12*Assumptions!$B$11</f>
        <v>848586282.67342103</v>
      </c>
    </row>
    <row r="18" spans="1:8" x14ac:dyDescent="0.35">
      <c r="A18" s="30" t="s">
        <v>192</v>
      </c>
      <c r="B18" s="65"/>
      <c r="C18" s="65"/>
      <c r="D18" s="65"/>
      <c r="E18" s="65"/>
      <c r="F18" s="36">
        <f>F17*(1-Assumptions!$B$14)</f>
        <v>706370.37958386878</v>
      </c>
      <c r="G18" s="36">
        <f>G17*(1-Assumptions!$B$14)</f>
        <v>636439712.0050658</v>
      </c>
      <c r="H18" s="36">
        <f>H17*(1-Assumptions!$B$14)</f>
        <v>636439712.0050658</v>
      </c>
    </row>
    <row r="19" spans="1:8" x14ac:dyDescent="0.35">
      <c r="A19" s="48" t="s">
        <v>193</v>
      </c>
      <c r="B19" s="64"/>
      <c r="C19" s="64"/>
      <c r="D19" s="64"/>
      <c r="E19" s="64"/>
      <c r="F19" s="72">
        <f>F16/F12</f>
        <v>0.55000000000000004</v>
      </c>
      <c r="G19" s="72">
        <f>G16/G12</f>
        <v>0.55000000000000004</v>
      </c>
      <c r="H19" s="72">
        <f>H16/H12</f>
        <v>0.55000000000000004</v>
      </c>
    </row>
    <row r="20" spans="1:8" x14ac:dyDescent="0.35">
      <c r="A20" s="30" t="s">
        <v>194</v>
      </c>
      <c r="B20" s="65"/>
      <c r="C20" s="65"/>
      <c r="D20" s="65"/>
      <c r="E20" s="65"/>
      <c r="F20" s="73">
        <f>F18/F12</f>
        <v>0.28499999999999998</v>
      </c>
      <c r="G20" s="73">
        <f>G18/G12</f>
        <v>0.28500000000000003</v>
      </c>
      <c r="H20" s="73">
        <f>H18/H12</f>
        <v>0.28500000000000003</v>
      </c>
    </row>
  </sheetData>
  <mergeCells count="5">
    <mergeCell ref="A1:H1"/>
    <mergeCell ref="A2:H2"/>
    <mergeCell ref="A4:H4"/>
    <mergeCell ref="A11:H11"/>
    <mergeCell ref="A15:H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Assumptions</vt:lpstr>
      <vt:lpstr>Income</vt:lpstr>
      <vt:lpstr>BalanceSheet</vt:lpstr>
      <vt:lpstr>CashFlow</vt:lpstr>
      <vt:lpstr>Ratios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Mishal Mazhar</cp:lastModifiedBy>
  <cp:revision>1</cp:revision>
  <dcterms:created xsi:type="dcterms:W3CDTF">2026-04-22T18:25:37Z</dcterms:created>
  <dcterms:modified xsi:type="dcterms:W3CDTF">2026-04-22T18:30:19Z</dcterms:modified>
  <dc:language>en-US</dc:language>
</cp:coreProperties>
</file>